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1" activeTab="4" autoFilterDateGrouping="1"/>
  </bookViews>
  <sheets>
    <sheet name="Solver Optimizer" sheetId="1" state="visible" r:id="rId1"/>
    <sheet name="Dashboard &amp; Prop Tracker" sheetId="2" state="visible" r:id="rId2"/>
    <sheet name="Quarterbacks (QB)" sheetId="3" state="visible" r:id="rId3"/>
    <sheet name="Running Backs (RB)" sheetId="4" state="visible" r:id="rId4"/>
    <sheet name="Wide Receivers (WR)" sheetId="5" state="visible" r:id="rId5"/>
    <sheet name="Tight Ends (TE)" sheetId="6" state="visible" r:id="rId6"/>
    <sheet name="Defenses (D_ST)" sheetId="7" state="visible" r:id="rId7"/>
    <sheet name="Removed Players" sheetId="8" state="visible" r:id="rId8"/>
  </sheets>
  <definedNames>
    <definedName name="solver_adj" localSheetId="0" hidden="1">'Solver Optimizer'!$G$2:$G$191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'Solver Optimizer'!$G$2:$G$191</definedName>
    <definedName name="solver_lhs10" localSheetId="0" hidden="1">'Solver Optimizer'!$K$9</definedName>
    <definedName name="solver_lhs2" localSheetId="0" hidden="1">'Solver Optimizer'!$K$10</definedName>
    <definedName name="solver_lhs3" localSheetId="0" hidden="1">'Solver Optimizer'!$K$3</definedName>
    <definedName name="solver_lhs4" localSheetId="0" hidden="1">'Solver Optimizer'!$K$4</definedName>
    <definedName name="solver_lhs5" localSheetId="0" hidden="1">'Solver Optimizer'!$K$6</definedName>
    <definedName name="solver_lhs6" localSheetId="0" hidden="1">'Solver Optimizer'!$K$7</definedName>
    <definedName name="solver_lhs7" localSheetId="0" hidden="1">'Solver Optimizer'!$K$8</definedName>
    <definedName name="solver_lhs8" localSheetId="0" hidden="1">'Solver Optimizer'!$K$9</definedName>
    <definedName name="solver_lhs9" localSheetId="0" hidden="1">'Solver Optimizer'!$K$9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nwt" localSheetId="0" hidden="1">1</definedName>
    <definedName name="solver_opt" localSheetId="0" hidden="1">'Solver Optimizer'!$K$2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10" localSheetId="0" hidden="1">3</definedName>
    <definedName name="solver_rel2" localSheetId="0" hidden="1">2</definedName>
    <definedName name="solver_rel3" localSheetId="0" hidden="1">1</definedName>
    <definedName name="solver_rel4" localSheetId="0" hidden="1">2</definedName>
    <definedName name="solver_rel5" localSheetId="0" hidden="1">2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el9" localSheetId="0" hidden="1">3</definedName>
    <definedName name="solver_rhs1" localSheetId="0" hidden="1">"binary"</definedName>
    <definedName name="solver_rhs10" localSheetId="0" hidden="1">1</definedName>
    <definedName name="solver_rhs2" localSheetId="0" hidden="1">1</definedName>
    <definedName name="solver_rhs3" localSheetId="0" hidden="1">60000</definedName>
    <definedName name="solver_rhs4" localSheetId="0" hidden="1">9</definedName>
    <definedName name="solver_rhs5" localSheetId="0" hidden="1">1</definedName>
    <definedName name="solver_rhs6" localSheetId="0" hidden="1">2</definedName>
    <definedName name="solver_rhs7" localSheetId="0" hidden="1">3</definedName>
    <definedName name="solver_rhs8" localSheetId="0" hidden="1">1</definedName>
    <definedName name="solver_rhs9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_xlnm._FilterDatabase" localSheetId="0" hidden="1">'Solver Optimizer'!$A$1:$H$1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'Quarterbacks (QB)'!$L$10</definedName>
    <definedName name="solver_typ" localSheetId="2" hidden="1">1</definedName>
    <definedName name="solver_val" localSheetId="2" hidden="1">0</definedName>
    <definedName name="solver_ver" localSheetId="2" hidden="1">3</definedName>
    <definedName name="_xlnm._FilterDatabase" localSheetId="2" hidden="1">'Quarterbacks (QB)'!$A$4:$O$79</definedName>
    <definedName name="_xlnm._FilterDatabase" localSheetId="3" hidden="1">'Running Backs (RB)'!$A$4:$O$124</definedName>
    <definedName name="_xlnm._FilterDatabase" localSheetId="4" hidden="1">'Wide Receivers (WR)'!$A$4:$O$209</definedName>
    <definedName name="_xlnm._FilterDatabase" localSheetId="5" hidden="1">'Tight Ends (TE)'!$A$4:$O$135</definedName>
    <definedName name="_xlnm._FilterDatabase" localSheetId="6" hidden="1">'Defenses (D_ST)'!$A$4:$O$26</definedName>
    <definedName name="_xlnm._FilterDatabase" localSheetId="7" hidden="1">'Removed Players'!$A$1:$F$435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\+0.0;\-0.0;0.0"/>
    <numFmt numFmtId="166" formatCode="0.0%"/>
    <numFmt numFmtId="167" formatCode="\$#,##0"/>
    <numFmt numFmtId="168" formatCode="\+0;\-0;0"/>
    <numFmt numFmtId="169" formatCode="$#,##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</font>
    <font>
      <name val="Calibri"/>
      <family val="2"/>
      <i val="1"/>
      <color rgb="FF595959"/>
      <sz val="10"/>
    </font>
    <font>
      <name val="Calibri"/>
      <family val="2"/>
      <b val="1"/>
      <color rgb="FF595959"/>
      <sz val="9"/>
    </font>
    <font>
      <name val="Calibri"/>
      <family val="2"/>
      <b val="1"/>
      <color rgb="FF1F4E78"/>
      <sz val="12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3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8" fontId="0" fillId="4" borderId="1" applyAlignment="1" pivotButton="0" quotePrefix="0" xfId="0">
      <alignment horizontal="right" vertical="center"/>
    </xf>
    <xf numFmtId="2" fontId="6" fillId="5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2" fontId="0" fillId="0" borderId="0" pivotButton="0" quotePrefix="0" xfId="0"/>
    <xf numFmtId="0" fontId="0" fillId="0" borderId="0" pivotButton="0" quotePrefix="0" xfId="0"/>
    <xf numFmtId="0" fontId="7" fillId="7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169" fontId="8" fillId="6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2" fontId="8" fillId="6" borderId="1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9" fontId="8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8" fontId="8" fillId="4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9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1" fontId="8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Top Prop Baseline Projections vs Sportsbook Line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'Dashboard &amp; Prop Tracker'!$D$9</f>
              <strCache>
                <ptCount val="1"/>
                <pt idx="0">
                  <v>Model Projection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'Dashboard &amp; Prop Tracker'!$A$10:$A$18</f>
              <strCache>
                <ptCount val="8"/>
                <pt idx="0">
                  <v>Josh Allen</v>
                </pt>
                <pt idx="1">
                  <v>Joe Burrow</v>
                </pt>
                <pt idx="2">
                  <v>Jahmyr Gibbs</v>
                </pt>
                <pt idx="3">
                  <v>Jonathan Taylor</v>
                </pt>
                <pt idx="4">
                  <v>Ja'Marr Chase</v>
                </pt>
                <pt idx="5">
                  <v>Amon-Ra St. Brown</v>
                </pt>
                <pt idx="6">
                  <v>Drake London</v>
                </pt>
                <pt idx="7">
                  <v>Trey McBride</v>
                </pt>
              </strCache>
            </strRef>
          </cat>
          <val>
            <numRef>
              <f>'Dashboard &amp; Prop Tracker'!$D$10:$D$18</f>
              <numCache>
                <formatCode>0.0</formatCode>
                <ptCount val="9"/>
                <pt idx="0">
                  <v>228.5</v>
                </pt>
                <pt idx="1">
                  <v>236.5</v>
                </pt>
                <pt idx="2">
                  <v>84.5</v>
                </pt>
                <pt idx="3">
                  <v>77.5</v>
                </pt>
                <pt idx="4">
                  <v>0</v>
                </pt>
                <pt idx="5">
                  <v>74.5</v>
                </pt>
                <pt idx="6">
                  <v>#N/A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'Dashboard &amp; Prop Tracker'!$E$9</f>
              <strCache>
                <ptCount val="1"/>
                <pt idx="0">
                  <v>Sportsbook Line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'Dashboard &amp; Prop Tracker'!$A$10:$A$18</f>
              <strCache>
                <ptCount val="8"/>
                <pt idx="0">
                  <v>Josh Allen</v>
                </pt>
                <pt idx="1">
                  <v>Joe Burrow</v>
                </pt>
                <pt idx="2">
                  <v>Jahmyr Gibbs</v>
                </pt>
                <pt idx="3">
                  <v>Jonathan Taylor</v>
                </pt>
                <pt idx="4">
                  <v>Ja'Marr Chase</v>
                </pt>
                <pt idx="5">
                  <v>Amon-Ra St. Brown</v>
                </pt>
                <pt idx="6">
                  <v>Drake London</v>
                </pt>
                <pt idx="7">
                  <v>Trey McBride</v>
                </pt>
              </strCache>
            </strRef>
          </cat>
          <val>
            <numRef>
              <f>'Dashboard &amp; Prop Tracker'!$E$10:$E$18</f>
              <numCache>
                <formatCode>0.0</formatCode>
                <ptCount val="9"/>
                <pt idx="0">
                  <v>220.5</v>
                </pt>
                <pt idx="1">
                  <v>258.5</v>
                </pt>
                <pt idx="2">
                  <v>88.5</v>
                </pt>
                <pt idx="3">
                  <v>95.5</v>
                </pt>
                <pt idx="4">
                  <v>85.5</v>
                </pt>
                <pt idx="5">
                  <v>79.5</v>
                </pt>
                <pt idx="6">
                  <v>68.5</v>
                </pt>
                <pt idx="7">
                  <v>62.5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Player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Yards</a:t>
                </a:r>
              </a:p>
            </rich>
          </tx>
          <overlay val="1"/>
        </title>
        <numFmt formatCode="0.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2" sqref="A2:E191"/>
    </sheetView>
  </sheetViews>
  <sheetFormatPr baseColWidth="8" defaultRowHeight="14.4"/>
  <cols>
    <col width="20" bestFit="1" customWidth="1" style="29" min="1" max="1"/>
    <col width="11.5546875" bestFit="1" customWidth="1" style="29" min="5" max="5"/>
    <col width="9.5546875" bestFit="1" customWidth="1" style="29" min="6" max="6"/>
    <col width="10.109375" bestFit="1" customWidth="1" style="29" min="7" max="7"/>
    <col width="14.109375" bestFit="1" customWidth="1" style="29" min="10" max="10"/>
    <col width="19.109375" bestFit="1" customWidth="1" style="29" min="11" max="11"/>
    <col width="14.109375" bestFit="1" customWidth="1" style="29" min="12" max="12"/>
  </cols>
  <sheetData>
    <row r="1">
      <c r="A1" t="inlineStr">
        <is>
          <t>Player</t>
        </is>
      </c>
      <c r="B1" t="inlineStr">
        <is>
          <t>Pos</t>
        </is>
      </c>
      <c r="C1" t="inlineStr">
        <is>
          <t>Team</t>
        </is>
      </c>
      <c r="D1" t="inlineStr">
        <is>
          <t>Salary</t>
        </is>
      </c>
      <c r="E1" t="inlineStr">
        <is>
          <t>Projection</t>
        </is>
      </c>
      <c r="F1" t="inlineStr">
        <is>
          <t xml:space="preserve"> Value</t>
        </is>
      </c>
      <c r="G1" t="inlineStr">
        <is>
          <t>Selected</t>
        </is>
      </c>
      <c r="H1" t="inlineStr">
        <is>
          <t>Slot</t>
        </is>
      </c>
    </row>
    <row r="2">
      <c r="A2">
        <f>'Wide Receivers (WR)'!B16</f>
        <v/>
      </c>
      <c r="B2">
        <f>"WR"</f>
        <v/>
      </c>
      <c r="C2">
        <f>'Wide Receivers (WR)'!C16</f>
        <v/>
      </c>
      <c r="D2">
        <f>'Wide Receivers (WR)'!E16</f>
        <v/>
      </c>
      <c r="E2" s="28">
        <f>'Wide Receivers (WR)'!J16</f>
        <v/>
      </c>
      <c r="F2" s="28">
        <f>'Wide Receivers (WR)'!K16</f>
        <v/>
      </c>
      <c r="G2" t="n">
        <v>1</v>
      </c>
      <c r="J2" t="inlineStr">
        <is>
          <t>Total Projection</t>
        </is>
      </c>
      <c r="K2" s="28">
        <f>SUMPRODUCT(G2:G191, E2:E191)</f>
        <v/>
      </c>
    </row>
    <row r="3">
      <c r="A3">
        <f>'Wide Receivers (WR)'!B6</f>
        <v/>
      </c>
      <c r="B3">
        <f>"WR"</f>
        <v/>
      </c>
      <c r="C3">
        <f>'Wide Receivers (WR)'!C6</f>
        <v/>
      </c>
      <c r="D3">
        <f>'Wide Receivers (WR)'!E6</f>
        <v/>
      </c>
      <c r="E3" s="28">
        <f>'Wide Receivers (WR)'!J6</f>
        <v/>
      </c>
      <c r="F3" s="28">
        <f>'Wide Receivers (WR)'!K6</f>
        <v/>
      </c>
      <c r="G3" t="n">
        <v>1</v>
      </c>
      <c r="J3" t="inlineStr">
        <is>
          <t>Total Salary</t>
        </is>
      </c>
      <c r="K3">
        <f>SUMPRODUCT(G2:G191, D2:D191)</f>
        <v/>
      </c>
    </row>
    <row r="4">
      <c r="A4">
        <f>'Wide Receivers (WR)'!B5</f>
        <v/>
      </c>
      <c r="B4">
        <f>"WR"</f>
        <v/>
      </c>
      <c r="C4">
        <f>'Wide Receivers (WR)'!C5</f>
        <v/>
      </c>
      <c r="D4">
        <f>'Wide Receivers (WR)'!E5</f>
        <v/>
      </c>
      <c r="E4" s="28">
        <f>'Wide Receivers (WR)'!J5</f>
        <v/>
      </c>
      <c r="F4" s="28">
        <f>'Wide Receivers (WR)'!K5</f>
        <v/>
      </c>
      <c r="G4" t="n">
        <v>1</v>
      </c>
      <c r="J4" t="inlineStr">
        <is>
          <t>Players Selected</t>
        </is>
      </c>
      <c r="K4">
        <f>SUM(G2:G191)</f>
        <v/>
      </c>
    </row>
    <row r="5">
      <c r="A5">
        <f>'Quarterbacks (QB)'!B6</f>
        <v/>
      </c>
      <c r="B5">
        <f>"QB"</f>
        <v/>
      </c>
      <c r="C5">
        <f>'Quarterbacks (QB)'!C6</f>
        <v/>
      </c>
      <c r="D5">
        <f>'Quarterbacks (QB)'!E6</f>
        <v/>
      </c>
      <c r="E5" s="28">
        <f>'Quarterbacks (QB)'!L6</f>
        <v/>
      </c>
      <c r="F5" s="28">
        <f>'Quarterbacks (QB)'!M6</f>
        <v/>
      </c>
      <c r="G5" t="n">
        <v>1</v>
      </c>
    </row>
    <row r="6">
      <c r="A6">
        <f>'Running Backs (RB)'!B18</f>
        <v/>
      </c>
      <c r="B6">
        <f>"RB"</f>
        <v/>
      </c>
      <c r="C6">
        <f>'Running Backs (RB)'!C18</f>
        <v/>
      </c>
      <c r="D6">
        <f>'Running Backs (RB)'!E18</f>
        <v/>
      </c>
      <c r="E6" s="28">
        <f>'Running Backs (RB)'!K18</f>
        <v/>
      </c>
      <c r="F6" s="28">
        <f>'Running Backs (RB)'!L18</f>
        <v/>
      </c>
      <c r="G6" t="n">
        <v>1</v>
      </c>
      <c r="J6" t="inlineStr">
        <is>
          <t>QB</t>
        </is>
      </c>
      <c r="K6">
        <f>SUMIFS(G2:G190,B2:B190,"QB")</f>
        <v/>
      </c>
    </row>
    <row r="7">
      <c r="A7">
        <f>'Running Backs (RB)'!B24</f>
        <v/>
      </c>
      <c r="B7">
        <f>"RB"</f>
        <v/>
      </c>
      <c r="C7">
        <f>'Running Backs (RB)'!C24</f>
        <v/>
      </c>
      <c r="D7">
        <f>'Running Backs (RB)'!E24</f>
        <v/>
      </c>
      <c r="E7" s="28">
        <f>'Running Backs (RB)'!K24</f>
        <v/>
      </c>
      <c r="F7" s="28">
        <f>'Running Backs (RB)'!L24</f>
        <v/>
      </c>
      <c r="G7" t="n">
        <v>1</v>
      </c>
      <c r="J7" t="inlineStr">
        <is>
          <t>RB</t>
        </is>
      </c>
      <c r="K7">
        <f>SUMIFS(G2:G190,B2:B190,"RB")</f>
        <v/>
      </c>
    </row>
    <row r="8">
      <c r="A8">
        <f>'Running Backs (RB)'!B34</f>
        <v/>
      </c>
      <c r="B8">
        <f>"RB"</f>
        <v/>
      </c>
      <c r="C8">
        <f>'Running Backs (RB)'!C34</f>
        <v/>
      </c>
      <c r="D8">
        <f>'Running Backs (RB)'!E34</f>
        <v/>
      </c>
      <c r="E8" s="28">
        <f>'Running Backs (RB)'!K34</f>
        <v/>
      </c>
      <c r="F8" s="28">
        <f>'Running Backs (RB)'!L34</f>
        <v/>
      </c>
      <c r="G8" t="n">
        <v>1</v>
      </c>
      <c r="J8" t="inlineStr">
        <is>
          <t>WR</t>
        </is>
      </c>
      <c r="K8">
        <f>SUMIFS(G2:G190,B2:B190,"WR")</f>
        <v/>
      </c>
    </row>
    <row r="9">
      <c r="A9">
        <f>'Tight Ends (TE)'!B5</f>
        <v/>
      </c>
      <c r="B9">
        <f>"TE"</f>
        <v/>
      </c>
      <c r="C9">
        <f>'Tight Ends (TE)'!C5</f>
        <v/>
      </c>
      <c r="D9">
        <f>'Tight Ends (TE)'!E5</f>
        <v/>
      </c>
      <c r="E9" s="28">
        <f>'Tight Ends (TE)'!J5</f>
        <v/>
      </c>
      <c r="F9" s="28">
        <f>'Tight Ends (TE)'!K5</f>
        <v/>
      </c>
      <c r="G9" t="n">
        <v>1</v>
      </c>
      <c r="J9" t="inlineStr">
        <is>
          <t>TE</t>
        </is>
      </c>
      <c r="K9">
        <f>SUMIFS(G2:G190,B2:B190,"TE")</f>
        <v/>
      </c>
    </row>
    <row r="10">
      <c r="A10">
        <f>'Defenses (D_ST)'!B5</f>
        <v/>
      </c>
      <c r="B10">
        <f>"DEF"</f>
        <v/>
      </c>
      <c r="C10">
        <f>'Defenses (D_ST)'!C5</f>
        <v/>
      </c>
      <c r="D10">
        <f>'Defenses (D_ST)'!E5</f>
        <v/>
      </c>
      <c r="E10" s="28">
        <f>'Defenses (D_ST)'!G5</f>
        <v/>
      </c>
      <c r="F10" s="28">
        <f>'Defenses (D_ST)'!H5</f>
        <v/>
      </c>
      <c r="G10" t="n">
        <v>1</v>
      </c>
      <c r="J10" t="inlineStr">
        <is>
          <t>DEF</t>
        </is>
      </c>
      <c r="K10">
        <f>SUMIFS(G3:G191,B3:B191,"DEF")</f>
        <v/>
      </c>
    </row>
    <row r="11">
      <c r="A11">
        <f>'Running Backs (RB)'!B13</f>
        <v/>
      </c>
      <c r="B11">
        <f>"RB"</f>
        <v/>
      </c>
      <c r="C11">
        <f>'Running Backs (RB)'!C13</f>
        <v/>
      </c>
      <c r="D11">
        <f>'Running Backs (RB)'!E13</f>
        <v/>
      </c>
      <c r="E11" s="28">
        <f>'Running Backs (RB)'!K13</f>
        <v/>
      </c>
      <c r="F11" s="28">
        <f>'Running Backs (RB)'!L13</f>
        <v/>
      </c>
      <c r="G11" t="n">
        <v>0</v>
      </c>
    </row>
    <row r="12">
      <c r="A12">
        <f>'Quarterbacks (QB)'!B12</f>
        <v/>
      </c>
      <c r="B12">
        <f>"QB"</f>
        <v/>
      </c>
      <c r="C12">
        <f>'Quarterbacks (QB)'!C12</f>
        <v/>
      </c>
      <c r="D12">
        <f>'Quarterbacks (QB)'!E12</f>
        <v/>
      </c>
      <c r="E12" s="28">
        <f>'Quarterbacks (QB)'!L12</f>
        <v/>
      </c>
      <c r="F12" s="28">
        <f>'Quarterbacks (QB)'!M12</f>
        <v/>
      </c>
      <c r="G12" t="n">
        <v>0</v>
      </c>
    </row>
    <row r="13">
      <c r="A13">
        <f>'Running Backs (RB)'!B5</f>
        <v/>
      </c>
      <c r="B13">
        <f>"RB"</f>
        <v/>
      </c>
      <c r="C13">
        <f>'Running Backs (RB)'!C5</f>
        <v/>
      </c>
      <c r="D13">
        <f>'Running Backs (RB)'!E5</f>
        <v/>
      </c>
      <c r="E13" s="28">
        <f>'Running Backs (RB)'!K5</f>
        <v/>
      </c>
      <c r="F13" s="28">
        <f>'Running Backs (RB)'!L5</f>
        <v/>
      </c>
      <c r="G13" t="n">
        <v>0</v>
      </c>
    </row>
    <row r="14">
      <c r="A14">
        <f>'Running Backs (RB)'!B20</f>
        <v/>
      </c>
      <c r="B14">
        <f>"RB"</f>
        <v/>
      </c>
      <c r="C14">
        <f>'Running Backs (RB)'!C20</f>
        <v/>
      </c>
      <c r="D14">
        <f>'Running Backs (RB)'!E20</f>
        <v/>
      </c>
      <c r="E14" s="28">
        <f>'Running Backs (RB)'!K20</f>
        <v/>
      </c>
      <c r="F14" s="28">
        <f>'Running Backs (RB)'!L20</f>
        <v/>
      </c>
      <c r="G14" t="n">
        <v>0</v>
      </c>
    </row>
    <row r="15">
      <c r="A15">
        <f>'Tight Ends (TE)'!B9</f>
        <v/>
      </c>
      <c r="B15">
        <f>"TE"</f>
        <v/>
      </c>
      <c r="C15">
        <f>'Tight Ends (TE)'!C9</f>
        <v/>
      </c>
      <c r="D15">
        <f>'Tight Ends (TE)'!E9</f>
        <v/>
      </c>
      <c r="E15" s="28">
        <f>'Tight Ends (TE)'!J9</f>
        <v/>
      </c>
      <c r="F15" s="28">
        <f>'Tight Ends (TE)'!K9</f>
        <v/>
      </c>
      <c r="G15" t="n">
        <v>0</v>
      </c>
    </row>
    <row r="16">
      <c r="A16">
        <f>'Defenses (D_ST)'!B12</f>
        <v/>
      </c>
      <c r="B16">
        <f>"DEF"</f>
        <v/>
      </c>
      <c r="C16">
        <f>'Defenses (D_ST)'!C12</f>
        <v/>
      </c>
      <c r="D16">
        <f>'Defenses (D_ST)'!E12</f>
        <v/>
      </c>
      <c r="E16" s="28">
        <f>'Defenses (D_ST)'!G12</f>
        <v/>
      </c>
      <c r="F16" s="28">
        <f>'Defenses (D_ST)'!H12</f>
        <v/>
      </c>
      <c r="G16" t="n">
        <v>0</v>
      </c>
    </row>
    <row r="17">
      <c r="A17">
        <f>'Quarterbacks (QB)'!B5</f>
        <v/>
      </c>
      <c r="B17">
        <f>"QB"</f>
        <v/>
      </c>
      <c r="C17">
        <f>'Quarterbacks (QB)'!C5</f>
        <v/>
      </c>
      <c r="D17">
        <f>'Quarterbacks (QB)'!E5</f>
        <v/>
      </c>
      <c r="E17" s="28">
        <f>'Quarterbacks (QB)'!L5</f>
        <v/>
      </c>
      <c r="F17" s="28">
        <f>'Quarterbacks (QB)'!M5</f>
        <v/>
      </c>
      <c r="G17" t="n">
        <v>0</v>
      </c>
    </row>
    <row r="18">
      <c r="A18">
        <f>'Wide Receivers (WR)'!B42</f>
        <v/>
      </c>
      <c r="B18">
        <f>"WR"</f>
        <v/>
      </c>
      <c r="C18">
        <f>'Wide Receivers (WR)'!C42</f>
        <v/>
      </c>
      <c r="D18">
        <f>'Wide Receivers (WR)'!E42</f>
        <v/>
      </c>
      <c r="E18" s="28">
        <f>'Wide Receivers (WR)'!J42</f>
        <v/>
      </c>
      <c r="F18" s="28">
        <f>'Wide Receivers (WR)'!K42</f>
        <v/>
      </c>
      <c r="G18" t="n">
        <v>0</v>
      </c>
    </row>
    <row r="19">
      <c r="A19">
        <f>'Running Backs (RB)'!B22</f>
        <v/>
      </c>
      <c r="B19">
        <f>"RB"</f>
        <v/>
      </c>
      <c r="C19">
        <f>'Running Backs (RB)'!C22</f>
        <v/>
      </c>
      <c r="D19">
        <f>'Running Backs (RB)'!E22</f>
        <v/>
      </c>
      <c r="E19" s="28">
        <f>'Running Backs (RB)'!K22</f>
        <v/>
      </c>
      <c r="F19" s="28">
        <f>'Running Backs (RB)'!L22</f>
        <v/>
      </c>
      <c r="G19" t="n">
        <v>0</v>
      </c>
    </row>
    <row r="20">
      <c r="A20">
        <f>'Wide Receivers (WR)'!B18</f>
        <v/>
      </c>
      <c r="B20">
        <f>"WR"</f>
        <v/>
      </c>
      <c r="C20">
        <f>'Wide Receivers (WR)'!C18</f>
        <v/>
      </c>
      <c r="D20">
        <f>'Wide Receivers (WR)'!E18</f>
        <v/>
      </c>
      <c r="E20" s="28">
        <f>'Wide Receivers (WR)'!J18</f>
        <v/>
      </c>
      <c r="F20" s="28">
        <f>'Wide Receivers (WR)'!K18</f>
        <v/>
      </c>
      <c r="G20" t="n">
        <v>0</v>
      </c>
    </row>
    <row r="21">
      <c r="A21">
        <f>'Tight Ends (TE)'!B7</f>
        <v/>
      </c>
      <c r="B21">
        <f>"TE"</f>
        <v/>
      </c>
      <c r="C21">
        <f>'Tight Ends (TE)'!C7</f>
        <v/>
      </c>
      <c r="D21">
        <f>'Tight Ends (TE)'!E7</f>
        <v/>
      </c>
      <c r="E21" s="28">
        <f>'Tight Ends (TE)'!J7</f>
        <v/>
      </c>
      <c r="F21" s="28">
        <f>'Tight Ends (TE)'!K7</f>
        <v/>
      </c>
      <c r="G21" t="n">
        <v>0</v>
      </c>
    </row>
    <row r="22">
      <c r="A22">
        <f>'Tight Ends (TE)'!B12</f>
        <v/>
      </c>
      <c r="B22">
        <f>"TE"</f>
        <v/>
      </c>
      <c r="C22">
        <f>'Tight Ends (TE)'!C12</f>
        <v/>
      </c>
      <c r="D22">
        <f>'Tight Ends (TE)'!E12</f>
        <v/>
      </c>
      <c r="E22" s="28">
        <f>'Tight Ends (TE)'!J12</f>
        <v/>
      </c>
      <c r="F22" s="28">
        <f>'Tight Ends (TE)'!K12</f>
        <v/>
      </c>
      <c r="G22" t="n">
        <v>0</v>
      </c>
    </row>
    <row r="23">
      <c r="A23">
        <f>'Defenses (D_ST)'!B17</f>
        <v/>
      </c>
      <c r="B23">
        <f>"DEF"</f>
        <v/>
      </c>
      <c r="C23">
        <f>'Defenses (D_ST)'!C17</f>
        <v/>
      </c>
      <c r="D23">
        <f>'Defenses (D_ST)'!E17</f>
        <v/>
      </c>
      <c r="E23" s="28">
        <f>'Defenses (D_ST)'!G17</f>
        <v/>
      </c>
      <c r="F23" s="28">
        <f>'Defenses (D_ST)'!H17</f>
        <v/>
      </c>
      <c r="G23" t="n">
        <v>0</v>
      </c>
    </row>
    <row r="24">
      <c r="A24">
        <f>'Running Backs (RB)'!B37</f>
        <v/>
      </c>
      <c r="B24">
        <f>"RB"</f>
        <v/>
      </c>
      <c r="C24">
        <f>'Running Backs (RB)'!C37</f>
        <v/>
      </c>
      <c r="D24">
        <f>'Running Backs (RB)'!E37</f>
        <v/>
      </c>
      <c r="E24" s="28">
        <f>'Running Backs (RB)'!K37</f>
        <v/>
      </c>
      <c r="F24" s="28">
        <f>'Running Backs (RB)'!L37</f>
        <v/>
      </c>
      <c r="G24" t="n">
        <v>0</v>
      </c>
    </row>
    <row r="25">
      <c r="A25">
        <f>'Running Backs (RB)'!B46</f>
        <v/>
      </c>
      <c r="B25">
        <f>"RB"</f>
        <v/>
      </c>
      <c r="C25">
        <f>'Running Backs (RB)'!C46</f>
        <v/>
      </c>
      <c r="D25">
        <f>'Running Backs (RB)'!E46</f>
        <v/>
      </c>
      <c r="E25" s="28">
        <f>'Running Backs (RB)'!K46</f>
        <v/>
      </c>
      <c r="F25" s="28">
        <f>'Running Backs (RB)'!L46</f>
        <v/>
      </c>
      <c r="G25" t="n">
        <v>0</v>
      </c>
    </row>
    <row r="26">
      <c r="A26">
        <f>'Wide Receivers (WR)'!B8</f>
        <v/>
      </c>
      <c r="B26">
        <f>"WR"</f>
        <v/>
      </c>
      <c r="C26">
        <f>'Wide Receivers (WR)'!C8</f>
        <v/>
      </c>
      <c r="D26">
        <f>'Wide Receivers (WR)'!E8</f>
        <v/>
      </c>
      <c r="E26" s="28">
        <f>'Wide Receivers (WR)'!J8</f>
        <v/>
      </c>
      <c r="F26" s="28">
        <f>'Wide Receivers (WR)'!K8</f>
        <v/>
      </c>
      <c r="G26" t="n">
        <v>0</v>
      </c>
    </row>
    <row r="27">
      <c r="A27">
        <f>'Wide Receivers (WR)'!B55</f>
        <v/>
      </c>
      <c r="B27">
        <f>"WR"</f>
        <v/>
      </c>
      <c r="C27">
        <f>'Wide Receivers (WR)'!C55</f>
        <v/>
      </c>
      <c r="D27">
        <f>'Wide Receivers (WR)'!E55</f>
        <v/>
      </c>
      <c r="E27" s="28">
        <f>'Wide Receivers (WR)'!J55</f>
        <v/>
      </c>
      <c r="F27" s="28">
        <f>'Wide Receivers (WR)'!K55</f>
        <v/>
      </c>
      <c r="G27" t="n">
        <v>0</v>
      </c>
    </row>
    <row r="28">
      <c r="A28">
        <f>'Tight Ends (TE)'!B34</f>
        <v/>
      </c>
      <c r="B28">
        <f>"TE"</f>
        <v/>
      </c>
      <c r="C28">
        <f>'Tight Ends (TE)'!C34</f>
        <v/>
      </c>
      <c r="D28">
        <f>'Tight Ends (TE)'!E34</f>
        <v/>
      </c>
      <c r="E28" s="28">
        <f>'Tight Ends (TE)'!J34</f>
        <v/>
      </c>
      <c r="F28" s="28">
        <f>'Tight Ends (TE)'!K34</f>
        <v/>
      </c>
      <c r="G28" t="n">
        <v>0</v>
      </c>
    </row>
    <row r="29">
      <c r="A29">
        <f>'Defenses (D_ST)'!B28</f>
        <v/>
      </c>
      <c r="B29">
        <f>"DEF"</f>
        <v/>
      </c>
      <c r="C29">
        <f>'Defenses (D_ST)'!C28</f>
        <v/>
      </c>
      <c r="D29">
        <f>'Defenses (D_ST)'!E28</f>
        <v/>
      </c>
      <c r="E29" s="28">
        <f>'Defenses (D_ST)'!G28</f>
        <v/>
      </c>
      <c r="F29" s="28">
        <f>'Defenses (D_ST)'!H28</f>
        <v/>
      </c>
      <c r="G29" t="n">
        <v>0</v>
      </c>
    </row>
    <row r="30">
      <c r="A30">
        <f>'Quarterbacks (QB)'!B7</f>
        <v/>
      </c>
      <c r="B30">
        <f>"QB"</f>
        <v/>
      </c>
      <c r="C30">
        <f>'Quarterbacks (QB)'!C7</f>
        <v/>
      </c>
      <c r="D30">
        <f>'Quarterbacks (QB)'!E7</f>
        <v/>
      </c>
      <c r="E30" s="28">
        <f>'Quarterbacks (QB)'!L7</f>
        <v/>
      </c>
      <c r="F30" s="28">
        <f>'Quarterbacks (QB)'!M7</f>
        <v/>
      </c>
      <c r="G30" t="n">
        <v>0</v>
      </c>
    </row>
    <row r="31">
      <c r="A31">
        <f>'Quarterbacks (QB)'!B8</f>
        <v/>
      </c>
      <c r="B31">
        <f>"QB"</f>
        <v/>
      </c>
      <c r="C31">
        <f>'Quarterbacks (QB)'!C8</f>
        <v/>
      </c>
      <c r="D31">
        <f>'Quarterbacks (QB)'!E8</f>
        <v/>
      </c>
      <c r="E31" s="28">
        <f>'Quarterbacks (QB)'!L8</f>
        <v/>
      </c>
      <c r="F31" s="28">
        <f>'Quarterbacks (QB)'!M8</f>
        <v/>
      </c>
      <c r="G31" t="n">
        <v>0</v>
      </c>
    </row>
    <row r="32">
      <c r="A32">
        <f>'Quarterbacks (QB)'!B9</f>
        <v/>
      </c>
      <c r="B32">
        <f>"QB"</f>
        <v/>
      </c>
      <c r="C32">
        <f>'Quarterbacks (QB)'!C9</f>
        <v/>
      </c>
      <c r="D32">
        <f>'Quarterbacks (QB)'!E9</f>
        <v/>
      </c>
      <c r="E32" s="28">
        <f>'Quarterbacks (QB)'!L9</f>
        <v/>
      </c>
      <c r="F32" s="28">
        <f>'Quarterbacks (QB)'!M9</f>
        <v/>
      </c>
      <c r="G32" t="n">
        <v>0</v>
      </c>
    </row>
    <row r="33">
      <c r="A33">
        <f>'Quarterbacks (QB)'!B10</f>
        <v/>
      </c>
      <c r="B33">
        <f>"QB"</f>
        <v/>
      </c>
      <c r="C33">
        <f>'Quarterbacks (QB)'!C10</f>
        <v/>
      </c>
      <c r="D33">
        <f>'Quarterbacks (QB)'!E10</f>
        <v/>
      </c>
      <c r="E33" s="28">
        <f>'Quarterbacks (QB)'!L10</f>
        <v/>
      </c>
      <c r="F33" s="28">
        <f>'Quarterbacks (QB)'!M10</f>
        <v/>
      </c>
      <c r="G33" t="n">
        <v>0</v>
      </c>
    </row>
    <row r="34">
      <c r="A34">
        <f>'Quarterbacks (QB)'!B11</f>
        <v/>
      </c>
      <c r="B34">
        <f>"QB"</f>
        <v/>
      </c>
      <c r="C34">
        <f>'Quarterbacks (QB)'!C11</f>
        <v/>
      </c>
      <c r="D34">
        <f>'Quarterbacks (QB)'!E11</f>
        <v/>
      </c>
      <c r="E34" s="28">
        <f>'Quarterbacks (QB)'!L11</f>
        <v/>
      </c>
      <c r="F34" s="28">
        <f>'Quarterbacks (QB)'!M11</f>
        <v/>
      </c>
      <c r="G34" t="n">
        <v>0</v>
      </c>
    </row>
    <row r="35">
      <c r="A35">
        <f>'Quarterbacks (QB)'!B13</f>
        <v/>
      </c>
      <c r="B35">
        <f>"QB"</f>
        <v/>
      </c>
      <c r="C35">
        <f>'Quarterbacks (QB)'!C13</f>
        <v/>
      </c>
      <c r="D35">
        <f>'Quarterbacks (QB)'!E13</f>
        <v/>
      </c>
      <c r="E35" s="28">
        <f>'Quarterbacks (QB)'!L13</f>
        <v/>
      </c>
      <c r="F35" s="28">
        <f>'Quarterbacks (QB)'!M13</f>
        <v/>
      </c>
      <c r="G35" t="n">
        <v>0</v>
      </c>
    </row>
    <row r="36">
      <c r="A36">
        <f>'Quarterbacks (QB)'!B14</f>
        <v/>
      </c>
      <c r="B36">
        <f>"QB"</f>
        <v/>
      </c>
      <c r="C36">
        <f>'Quarterbacks (QB)'!C14</f>
        <v/>
      </c>
      <c r="D36">
        <f>'Quarterbacks (QB)'!E14</f>
        <v/>
      </c>
      <c r="E36" s="28">
        <f>'Quarterbacks (QB)'!L14</f>
        <v/>
      </c>
      <c r="F36" s="28">
        <f>'Quarterbacks (QB)'!M14</f>
        <v/>
      </c>
      <c r="G36" t="n">
        <v>0</v>
      </c>
    </row>
    <row r="37">
      <c r="A37">
        <f>'Quarterbacks (QB)'!B15</f>
        <v/>
      </c>
      <c r="B37">
        <f>"QB"</f>
        <v/>
      </c>
      <c r="C37">
        <f>'Quarterbacks (QB)'!C15</f>
        <v/>
      </c>
      <c r="D37">
        <f>'Quarterbacks (QB)'!E15</f>
        <v/>
      </c>
      <c r="E37" s="28">
        <f>'Quarterbacks (QB)'!L15</f>
        <v/>
      </c>
      <c r="F37" s="28">
        <f>'Quarterbacks (QB)'!M15</f>
        <v/>
      </c>
      <c r="G37" t="n">
        <v>0</v>
      </c>
    </row>
    <row r="38">
      <c r="A38">
        <f>'Quarterbacks (QB)'!B16</f>
        <v/>
      </c>
      <c r="B38">
        <f>"QB"</f>
        <v/>
      </c>
      <c r="C38">
        <f>'Quarterbacks (QB)'!C16</f>
        <v/>
      </c>
      <c r="D38">
        <f>'Quarterbacks (QB)'!E16</f>
        <v/>
      </c>
      <c r="E38" s="28">
        <f>'Quarterbacks (QB)'!L16</f>
        <v/>
      </c>
      <c r="F38" s="28">
        <f>'Quarterbacks (QB)'!M16</f>
        <v/>
      </c>
      <c r="G38" t="n">
        <v>0</v>
      </c>
    </row>
    <row r="39">
      <c r="A39">
        <f>'Quarterbacks (QB)'!B17</f>
        <v/>
      </c>
      <c r="B39">
        <f>"QB"</f>
        <v/>
      </c>
      <c r="C39">
        <f>'Quarterbacks (QB)'!C17</f>
        <v/>
      </c>
      <c r="D39">
        <f>'Quarterbacks (QB)'!E17</f>
        <v/>
      </c>
      <c r="E39" s="28">
        <f>'Quarterbacks (QB)'!L17</f>
        <v/>
      </c>
      <c r="F39" s="28">
        <f>'Quarterbacks (QB)'!M17</f>
        <v/>
      </c>
      <c r="G39" t="n">
        <v>0</v>
      </c>
    </row>
    <row r="40">
      <c r="A40">
        <f>'Quarterbacks (QB)'!B18</f>
        <v/>
      </c>
      <c r="B40">
        <f>"QB"</f>
        <v/>
      </c>
      <c r="C40">
        <f>'Quarterbacks (QB)'!C18</f>
        <v/>
      </c>
      <c r="D40">
        <f>'Quarterbacks (QB)'!E18</f>
        <v/>
      </c>
      <c r="E40" s="28">
        <f>'Quarterbacks (QB)'!L18</f>
        <v/>
      </c>
      <c r="F40" s="28">
        <f>'Quarterbacks (QB)'!M18</f>
        <v/>
      </c>
      <c r="G40" t="n">
        <v>0</v>
      </c>
    </row>
    <row r="41">
      <c r="A41">
        <f>'Quarterbacks (QB)'!B19</f>
        <v/>
      </c>
      <c r="B41">
        <f>"QB"</f>
        <v/>
      </c>
      <c r="C41">
        <f>'Quarterbacks (QB)'!C19</f>
        <v/>
      </c>
      <c r="D41">
        <f>'Quarterbacks (QB)'!E19</f>
        <v/>
      </c>
      <c r="E41" s="28">
        <f>'Quarterbacks (QB)'!L19</f>
        <v/>
      </c>
      <c r="F41" s="28">
        <f>'Quarterbacks (QB)'!M19</f>
        <v/>
      </c>
      <c r="G41" t="n">
        <v>0</v>
      </c>
    </row>
    <row r="42">
      <c r="A42">
        <f>'Quarterbacks (QB)'!B20</f>
        <v/>
      </c>
      <c r="B42">
        <f>"QB"</f>
        <v/>
      </c>
      <c r="C42">
        <f>'Quarterbacks (QB)'!C20</f>
        <v/>
      </c>
      <c r="D42">
        <f>'Quarterbacks (QB)'!E20</f>
        <v/>
      </c>
      <c r="E42" s="28">
        <f>'Quarterbacks (QB)'!L20</f>
        <v/>
      </c>
      <c r="F42" s="28">
        <f>'Quarterbacks (QB)'!M20</f>
        <v/>
      </c>
      <c r="G42" t="n">
        <v>0</v>
      </c>
    </row>
    <row r="43">
      <c r="A43">
        <f>'Quarterbacks (QB)'!B21</f>
        <v/>
      </c>
      <c r="B43">
        <f>"QB"</f>
        <v/>
      </c>
      <c r="C43">
        <f>'Quarterbacks (QB)'!C21</f>
        <v/>
      </c>
      <c r="D43">
        <f>'Quarterbacks (QB)'!E21</f>
        <v/>
      </c>
      <c r="E43" s="28">
        <f>'Quarterbacks (QB)'!L21</f>
        <v/>
      </c>
      <c r="F43" s="28">
        <f>'Quarterbacks (QB)'!M21</f>
        <v/>
      </c>
      <c r="G43" t="n">
        <v>0</v>
      </c>
    </row>
    <row r="44">
      <c r="A44">
        <f>'Quarterbacks (QB)'!B22</f>
        <v/>
      </c>
      <c r="B44">
        <f>"QB"</f>
        <v/>
      </c>
      <c r="C44">
        <f>'Quarterbacks (QB)'!C22</f>
        <v/>
      </c>
      <c r="D44">
        <f>'Quarterbacks (QB)'!E22</f>
        <v/>
      </c>
      <c r="E44" s="28">
        <f>'Quarterbacks (QB)'!L22</f>
        <v/>
      </c>
      <c r="F44" s="28">
        <f>'Quarterbacks (QB)'!M22</f>
        <v/>
      </c>
      <c r="G44" t="n">
        <v>0</v>
      </c>
    </row>
    <row r="45">
      <c r="A45">
        <f>'Quarterbacks (QB)'!B23</f>
        <v/>
      </c>
      <c r="B45">
        <f>"QB"</f>
        <v/>
      </c>
      <c r="C45">
        <f>'Quarterbacks (QB)'!C23</f>
        <v/>
      </c>
      <c r="D45">
        <f>'Quarterbacks (QB)'!E23</f>
        <v/>
      </c>
      <c r="E45" s="28">
        <f>'Quarterbacks (QB)'!L23</f>
        <v/>
      </c>
      <c r="F45" s="28">
        <f>'Quarterbacks (QB)'!M23</f>
        <v/>
      </c>
      <c r="G45" t="n">
        <v>0</v>
      </c>
    </row>
    <row r="46">
      <c r="A46">
        <f>'Quarterbacks (QB)'!B24</f>
        <v/>
      </c>
      <c r="B46">
        <f>"QB"</f>
        <v/>
      </c>
      <c r="C46">
        <f>'Quarterbacks (QB)'!C24</f>
        <v/>
      </c>
      <c r="D46">
        <f>'Quarterbacks (QB)'!E24</f>
        <v/>
      </c>
      <c r="E46" s="28">
        <f>'Quarterbacks (QB)'!L24</f>
        <v/>
      </c>
      <c r="F46" s="28">
        <f>'Quarterbacks (QB)'!M24</f>
        <v/>
      </c>
      <c r="G46" t="n">
        <v>0</v>
      </c>
    </row>
    <row r="47">
      <c r="A47">
        <f>'Quarterbacks (QB)'!B25</f>
        <v/>
      </c>
      <c r="B47">
        <f>"QB"</f>
        <v/>
      </c>
      <c r="C47">
        <f>'Quarterbacks (QB)'!C25</f>
        <v/>
      </c>
      <c r="D47">
        <f>'Quarterbacks (QB)'!E25</f>
        <v/>
      </c>
      <c r="E47" s="28">
        <f>'Quarterbacks (QB)'!L25</f>
        <v/>
      </c>
      <c r="F47" s="28">
        <f>'Quarterbacks (QB)'!M25</f>
        <v/>
      </c>
      <c r="G47" t="n">
        <v>0</v>
      </c>
    </row>
    <row r="48">
      <c r="A48">
        <f>'Quarterbacks (QB)'!B32</f>
        <v/>
      </c>
      <c r="B48">
        <f>"QB"</f>
        <v/>
      </c>
      <c r="C48">
        <f>'Quarterbacks (QB)'!C32</f>
        <v/>
      </c>
      <c r="D48">
        <f>'Quarterbacks (QB)'!E32</f>
        <v/>
      </c>
      <c r="E48" s="28">
        <f>'Quarterbacks (QB)'!L32</f>
        <v/>
      </c>
      <c r="F48" s="28">
        <f>'Quarterbacks (QB)'!M32</f>
        <v/>
      </c>
      <c r="G48" t="n">
        <v>0</v>
      </c>
    </row>
    <row r="49">
      <c r="A49">
        <f>'Quarterbacks (QB)'!B33</f>
        <v/>
      </c>
      <c r="B49">
        <f>"QB"</f>
        <v/>
      </c>
      <c r="C49">
        <f>'Quarterbacks (QB)'!C33</f>
        <v/>
      </c>
      <c r="D49">
        <f>'Quarterbacks (QB)'!E33</f>
        <v/>
      </c>
      <c r="E49" s="28">
        <f>'Quarterbacks (QB)'!L33</f>
        <v/>
      </c>
      <c r="F49" s="28">
        <f>'Quarterbacks (QB)'!M33</f>
        <v/>
      </c>
      <c r="G49" t="n">
        <v>0</v>
      </c>
    </row>
    <row r="50">
      <c r="A50">
        <f>'Quarterbacks (QB)'!B48</f>
        <v/>
      </c>
      <c r="B50">
        <f>"QB"</f>
        <v/>
      </c>
      <c r="C50">
        <f>'Quarterbacks (QB)'!C48</f>
        <v/>
      </c>
      <c r="D50">
        <f>'Quarterbacks (QB)'!E48</f>
        <v/>
      </c>
      <c r="E50" s="28">
        <f>'Quarterbacks (QB)'!L48</f>
        <v/>
      </c>
      <c r="F50" s="28">
        <f>'Quarterbacks (QB)'!M48</f>
        <v/>
      </c>
      <c r="G50" t="n">
        <v>0</v>
      </c>
    </row>
    <row r="51">
      <c r="A51">
        <f>'Running Backs (RB)'!B6</f>
        <v/>
      </c>
      <c r="B51">
        <f>"RB"</f>
        <v/>
      </c>
      <c r="C51">
        <f>'Running Backs (RB)'!C6</f>
        <v/>
      </c>
      <c r="D51">
        <f>'Running Backs (RB)'!E6</f>
        <v/>
      </c>
      <c r="E51" s="28">
        <f>'Running Backs (RB)'!K6</f>
        <v/>
      </c>
      <c r="F51" s="28">
        <f>'Running Backs (RB)'!L6</f>
        <v/>
      </c>
      <c r="G51" t="n">
        <v>0</v>
      </c>
    </row>
    <row r="52">
      <c r="A52">
        <f>'Running Backs (RB)'!B7</f>
        <v/>
      </c>
      <c r="B52">
        <f>"RB"</f>
        <v/>
      </c>
      <c r="C52">
        <f>'Running Backs (RB)'!C7</f>
        <v/>
      </c>
      <c r="D52">
        <f>'Running Backs (RB)'!E7</f>
        <v/>
      </c>
      <c r="E52" s="28">
        <f>'Running Backs (RB)'!K7</f>
        <v/>
      </c>
      <c r="F52" s="28">
        <f>'Running Backs (RB)'!L7</f>
        <v/>
      </c>
      <c r="G52" t="n">
        <v>0</v>
      </c>
    </row>
    <row r="53">
      <c r="A53">
        <f>'Running Backs (RB)'!B8</f>
        <v/>
      </c>
      <c r="B53">
        <f>"RB"</f>
        <v/>
      </c>
      <c r="C53">
        <f>'Running Backs (RB)'!C8</f>
        <v/>
      </c>
      <c r="D53">
        <f>'Running Backs (RB)'!E8</f>
        <v/>
      </c>
      <c r="E53" s="28">
        <f>'Running Backs (RB)'!K8</f>
        <v/>
      </c>
      <c r="F53" s="28">
        <f>'Running Backs (RB)'!L8</f>
        <v/>
      </c>
      <c r="G53" t="n">
        <v>0</v>
      </c>
    </row>
    <row r="54">
      <c r="A54">
        <f>'Running Backs (RB)'!B9</f>
        <v/>
      </c>
      <c r="B54">
        <f>"RB"</f>
        <v/>
      </c>
      <c r="C54">
        <f>'Running Backs (RB)'!C9</f>
        <v/>
      </c>
      <c r="D54">
        <f>'Running Backs (RB)'!E9</f>
        <v/>
      </c>
      <c r="E54" s="28">
        <f>'Running Backs (RB)'!K9</f>
        <v/>
      </c>
      <c r="F54" s="28">
        <f>'Running Backs (RB)'!L9</f>
        <v/>
      </c>
      <c r="G54" t="n">
        <v>0</v>
      </c>
    </row>
    <row r="55">
      <c r="A55">
        <f>'Running Backs (RB)'!B10</f>
        <v/>
      </c>
      <c r="B55">
        <f>"RB"</f>
        <v/>
      </c>
      <c r="C55">
        <f>'Running Backs (RB)'!C10</f>
        <v/>
      </c>
      <c r="D55">
        <f>'Running Backs (RB)'!E10</f>
        <v/>
      </c>
      <c r="E55" s="28">
        <f>'Running Backs (RB)'!K10</f>
        <v/>
      </c>
      <c r="F55" s="28">
        <f>'Running Backs (RB)'!L10</f>
        <v/>
      </c>
      <c r="G55" t="n">
        <v>0</v>
      </c>
    </row>
    <row r="56">
      <c r="A56">
        <f>'Running Backs (RB)'!B11</f>
        <v/>
      </c>
      <c r="B56">
        <f>"RB"</f>
        <v/>
      </c>
      <c r="C56">
        <f>'Running Backs (RB)'!C11</f>
        <v/>
      </c>
      <c r="D56">
        <f>'Running Backs (RB)'!E11</f>
        <v/>
      </c>
      <c r="E56" s="28">
        <f>'Running Backs (RB)'!K11</f>
        <v/>
      </c>
      <c r="F56" s="28">
        <f>'Running Backs (RB)'!L11</f>
        <v/>
      </c>
      <c r="G56" t="n">
        <v>0</v>
      </c>
    </row>
    <row r="57">
      <c r="A57">
        <f>'Running Backs (RB)'!B12</f>
        <v/>
      </c>
      <c r="B57">
        <f>"RB"</f>
        <v/>
      </c>
      <c r="C57">
        <f>'Running Backs (RB)'!C12</f>
        <v/>
      </c>
      <c r="D57">
        <f>'Running Backs (RB)'!E12</f>
        <v/>
      </c>
      <c r="E57" s="28">
        <f>'Running Backs (RB)'!K12</f>
        <v/>
      </c>
      <c r="F57" s="28">
        <f>'Running Backs (RB)'!L12</f>
        <v/>
      </c>
      <c r="G57" t="n">
        <v>0</v>
      </c>
    </row>
    <row r="58">
      <c r="A58">
        <f>'Running Backs (RB)'!B14</f>
        <v/>
      </c>
      <c r="B58">
        <f>"RB"</f>
        <v/>
      </c>
      <c r="C58">
        <f>'Running Backs (RB)'!C14</f>
        <v/>
      </c>
      <c r="D58">
        <f>'Running Backs (RB)'!E14</f>
        <v/>
      </c>
      <c r="E58" s="28">
        <f>'Running Backs (RB)'!K14</f>
        <v/>
      </c>
      <c r="F58" s="28">
        <f>'Running Backs (RB)'!L14</f>
        <v/>
      </c>
      <c r="G58" t="n">
        <v>0</v>
      </c>
    </row>
    <row r="59">
      <c r="A59">
        <f>'Running Backs (RB)'!B15</f>
        <v/>
      </c>
      <c r="B59">
        <f>"RB"</f>
        <v/>
      </c>
      <c r="C59">
        <f>'Running Backs (RB)'!C15</f>
        <v/>
      </c>
      <c r="D59">
        <f>'Running Backs (RB)'!E15</f>
        <v/>
      </c>
      <c r="E59" s="28">
        <f>'Running Backs (RB)'!K15</f>
        <v/>
      </c>
      <c r="F59" s="28">
        <f>'Running Backs (RB)'!L15</f>
        <v/>
      </c>
      <c r="G59" t="n">
        <v>0</v>
      </c>
    </row>
    <row r="60">
      <c r="A60">
        <f>'Running Backs (RB)'!B16</f>
        <v/>
      </c>
      <c r="B60">
        <f>"RB"</f>
        <v/>
      </c>
      <c r="C60">
        <f>'Running Backs (RB)'!C16</f>
        <v/>
      </c>
      <c r="D60">
        <f>'Running Backs (RB)'!E16</f>
        <v/>
      </c>
      <c r="E60" s="28">
        <f>'Running Backs (RB)'!K16</f>
        <v/>
      </c>
      <c r="F60" s="28">
        <f>'Running Backs (RB)'!L16</f>
        <v/>
      </c>
      <c r="G60" t="n">
        <v>0</v>
      </c>
    </row>
    <row r="61">
      <c r="A61">
        <f>'Running Backs (RB)'!B17</f>
        <v/>
      </c>
      <c r="B61">
        <f>"RB"</f>
        <v/>
      </c>
      <c r="C61">
        <f>'Running Backs (RB)'!C17</f>
        <v/>
      </c>
      <c r="D61">
        <f>'Running Backs (RB)'!E17</f>
        <v/>
      </c>
      <c r="E61" s="28">
        <f>'Running Backs (RB)'!K17</f>
        <v/>
      </c>
      <c r="F61" s="28">
        <f>'Running Backs (RB)'!L17</f>
        <v/>
      </c>
      <c r="G61" t="n">
        <v>0</v>
      </c>
    </row>
    <row r="62">
      <c r="A62">
        <f>'Running Backs (RB)'!B19</f>
        <v/>
      </c>
      <c r="B62">
        <f>"RB"</f>
        <v/>
      </c>
      <c r="C62">
        <f>'Running Backs (RB)'!C19</f>
        <v/>
      </c>
      <c r="D62">
        <f>'Running Backs (RB)'!E19</f>
        <v/>
      </c>
      <c r="E62" s="28">
        <f>'Running Backs (RB)'!K19</f>
        <v/>
      </c>
      <c r="F62" s="28">
        <f>'Running Backs (RB)'!L19</f>
        <v/>
      </c>
      <c r="G62" t="n">
        <v>0</v>
      </c>
    </row>
    <row r="63">
      <c r="A63">
        <f>'Running Backs (RB)'!B21</f>
        <v/>
      </c>
      <c r="B63">
        <f>"RB"</f>
        <v/>
      </c>
      <c r="C63">
        <f>'Running Backs (RB)'!C21</f>
        <v/>
      </c>
      <c r="D63">
        <f>'Running Backs (RB)'!E21</f>
        <v/>
      </c>
      <c r="E63" s="28">
        <f>'Running Backs (RB)'!K21</f>
        <v/>
      </c>
      <c r="F63" s="28">
        <f>'Running Backs (RB)'!L21</f>
        <v/>
      </c>
      <c r="G63" t="n">
        <v>0</v>
      </c>
    </row>
    <row r="64">
      <c r="A64">
        <f>'Running Backs (RB)'!B23</f>
        <v/>
      </c>
      <c r="B64">
        <f>"RB"</f>
        <v/>
      </c>
      <c r="C64">
        <f>'Running Backs (RB)'!C23</f>
        <v/>
      </c>
      <c r="D64">
        <f>'Running Backs (RB)'!E23</f>
        <v/>
      </c>
      <c r="E64" s="28">
        <f>'Running Backs (RB)'!K23</f>
        <v/>
      </c>
      <c r="F64" s="28">
        <f>'Running Backs (RB)'!L23</f>
        <v/>
      </c>
      <c r="G64" t="n">
        <v>0</v>
      </c>
    </row>
    <row r="65">
      <c r="A65">
        <f>'Running Backs (RB)'!B25</f>
        <v/>
      </c>
      <c r="B65">
        <f>"RB"</f>
        <v/>
      </c>
      <c r="C65">
        <f>'Running Backs (RB)'!C25</f>
        <v/>
      </c>
      <c r="D65">
        <f>'Running Backs (RB)'!E25</f>
        <v/>
      </c>
      <c r="E65" s="28">
        <f>'Running Backs (RB)'!K25</f>
        <v/>
      </c>
      <c r="F65" s="28">
        <f>'Running Backs (RB)'!L25</f>
        <v/>
      </c>
      <c r="G65" t="n">
        <v>0</v>
      </c>
    </row>
    <row r="66">
      <c r="A66">
        <f>'Running Backs (RB)'!B26</f>
        <v/>
      </c>
      <c r="B66">
        <f>"RB"</f>
        <v/>
      </c>
      <c r="C66">
        <f>'Running Backs (RB)'!C26</f>
        <v/>
      </c>
      <c r="D66">
        <f>'Running Backs (RB)'!E26</f>
        <v/>
      </c>
      <c r="E66" s="28">
        <f>'Running Backs (RB)'!K26</f>
        <v/>
      </c>
      <c r="F66" s="28">
        <f>'Running Backs (RB)'!L26</f>
        <v/>
      </c>
      <c r="G66" t="n">
        <v>0</v>
      </c>
    </row>
    <row r="67">
      <c r="A67">
        <f>'Running Backs (RB)'!B27</f>
        <v/>
      </c>
      <c r="B67">
        <f>"RB"</f>
        <v/>
      </c>
      <c r="C67">
        <f>'Running Backs (RB)'!C27</f>
        <v/>
      </c>
      <c r="D67">
        <f>'Running Backs (RB)'!E27</f>
        <v/>
      </c>
      <c r="E67" s="28">
        <f>'Running Backs (RB)'!K27</f>
        <v/>
      </c>
      <c r="F67" s="28">
        <f>'Running Backs (RB)'!L27</f>
        <v/>
      </c>
      <c r="G67" t="n">
        <v>0</v>
      </c>
    </row>
    <row r="68">
      <c r="A68">
        <f>'Running Backs (RB)'!B28</f>
        <v/>
      </c>
      <c r="B68">
        <f>"RB"</f>
        <v/>
      </c>
      <c r="C68">
        <f>'Running Backs (RB)'!C28</f>
        <v/>
      </c>
      <c r="D68">
        <f>'Running Backs (RB)'!E28</f>
        <v/>
      </c>
      <c r="E68" s="28">
        <f>'Running Backs (RB)'!K28</f>
        <v/>
      </c>
      <c r="F68" s="28">
        <f>'Running Backs (RB)'!L28</f>
        <v/>
      </c>
      <c r="G68" t="n">
        <v>0</v>
      </c>
    </row>
    <row r="69">
      <c r="A69">
        <f>'Running Backs (RB)'!B29</f>
        <v/>
      </c>
      <c r="B69">
        <f>"RB"</f>
        <v/>
      </c>
      <c r="C69">
        <f>'Running Backs (RB)'!C29</f>
        <v/>
      </c>
      <c r="D69">
        <f>'Running Backs (RB)'!E29</f>
        <v/>
      </c>
      <c r="E69" s="28">
        <f>'Running Backs (RB)'!K29</f>
        <v/>
      </c>
      <c r="F69" s="28">
        <f>'Running Backs (RB)'!L29</f>
        <v/>
      </c>
      <c r="G69" t="n">
        <v>0</v>
      </c>
    </row>
    <row r="70">
      <c r="A70">
        <f>'Running Backs (RB)'!B30</f>
        <v/>
      </c>
      <c r="B70">
        <f>"RB"</f>
        <v/>
      </c>
      <c r="C70">
        <f>'Running Backs (RB)'!C30</f>
        <v/>
      </c>
      <c r="D70">
        <f>'Running Backs (RB)'!E30</f>
        <v/>
      </c>
      <c r="E70" s="28">
        <f>'Running Backs (RB)'!K30</f>
        <v/>
      </c>
      <c r="F70" s="28">
        <f>'Running Backs (RB)'!L30</f>
        <v/>
      </c>
      <c r="G70" t="n">
        <v>0</v>
      </c>
    </row>
    <row r="71">
      <c r="A71">
        <f>'Running Backs (RB)'!B31</f>
        <v/>
      </c>
      <c r="B71">
        <f>"RB"</f>
        <v/>
      </c>
      <c r="C71">
        <f>'Running Backs (RB)'!C31</f>
        <v/>
      </c>
      <c r="D71">
        <f>'Running Backs (RB)'!E31</f>
        <v/>
      </c>
      <c r="E71" s="28">
        <f>'Running Backs (RB)'!K31</f>
        <v/>
      </c>
      <c r="F71" s="28">
        <f>'Running Backs (RB)'!L31</f>
        <v/>
      </c>
      <c r="G71" t="n">
        <v>0</v>
      </c>
    </row>
    <row r="72">
      <c r="A72">
        <f>'Running Backs (RB)'!B32</f>
        <v/>
      </c>
      <c r="B72">
        <f>"RB"</f>
        <v/>
      </c>
      <c r="C72">
        <f>'Running Backs (RB)'!C32</f>
        <v/>
      </c>
      <c r="D72">
        <f>'Running Backs (RB)'!E32</f>
        <v/>
      </c>
      <c r="E72" s="28">
        <f>'Running Backs (RB)'!K32</f>
        <v/>
      </c>
      <c r="F72" s="28">
        <f>'Running Backs (RB)'!L32</f>
        <v/>
      </c>
      <c r="G72" t="n">
        <v>0</v>
      </c>
    </row>
    <row r="73">
      <c r="A73">
        <f>'Running Backs (RB)'!B33</f>
        <v/>
      </c>
      <c r="B73">
        <f>"RB"</f>
        <v/>
      </c>
      <c r="C73">
        <f>'Running Backs (RB)'!C33</f>
        <v/>
      </c>
      <c r="D73">
        <f>'Running Backs (RB)'!E33</f>
        <v/>
      </c>
      <c r="E73" s="28">
        <f>'Running Backs (RB)'!K33</f>
        <v/>
      </c>
      <c r="F73" s="28">
        <f>'Running Backs (RB)'!L33</f>
        <v/>
      </c>
      <c r="G73" t="n">
        <v>0</v>
      </c>
    </row>
    <row r="74">
      <c r="A74">
        <f>'Running Backs (RB)'!B35</f>
        <v/>
      </c>
      <c r="B74">
        <f>"RB"</f>
        <v/>
      </c>
      <c r="C74">
        <f>'Running Backs (RB)'!C35</f>
        <v/>
      </c>
      <c r="D74">
        <f>'Running Backs (RB)'!E35</f>
        <v/>
      </c>
      <c r="E74" s="28">
        <f>'Running Backs (RB)'!K35</f>
        <v/>
      </c>
      <c r="F74" s="28">
        <f>'Running Backs (RB)'!L35</f>
        <v/>
      </c>
      <c r="G74" t="n">
        <v>0</v>
      </c>
    </row>
    <row r="75">
      <c r="A75">
        <f>'Running Backs (RB)'!B36</f>
        <v/>
      </c>
      <c r="B75">
        <f>"RB"</f>
        <v/>
      </c>
      <c r="C75">
        <f>'Running Backs (RB)'!C36</f>
        <v/>
      </c>
      <c r="D75">
        <f>'Running Backs (RB)'!E36</f>
        <v/>
      </c>
      <c r="E75" s="28">
        <f>'Running Backs (RB)'!K36</f>
        <v/>
      </c>
      <c r="F75" s="28">
        <f>'Running Backs (RB)'!L36</f>
        <v/>
      </c>
      <c r="G75" t="n">
        <v>0</v>
      </c>
    </row>
    <row r="76">
      <c r="A76">
        <f>'Running Backs (RB)'!B38</f>
        <v/>
      </c>
      <c r="B76">
        <f>"RB"</f>
        <v/>
      </c>
      <c r="C76">
        <f>'Running Backs (RB)'!C38</f>
        <v/>
      </c>
      <c r="D76">
        <f>'Running Backs (RB)'!E38</f>
        <v/>
      </c>
      <c r="E76" s="28">
        <f>'Running Backs (RB)'!K38</f>
        <v/>
      </c>
      <c r="F76" s="28">
        <f>'Running Backs (RB)'!L38</f>
        <v/>
      </c>
      <c r="G76" t="n">
        <v>0</v>
      </c>
    </row>
    <row r="77">
      <c r="A77">
        <f>'Running Backs (RB)'!B39</f>
        <v/>
      </c>
      <c r="B77">
        <f>"RB"</f>
        <v/>
      </c>
      <c r="C77">
        <f>'Running Backs (RB)'!C39</f>
        <v/>
      </c>
      <c r="D77">
        <f>'Running Backs (RB)'!E39</f>
        <v/>
      </c>
      <c r="E77" s="28">
        <f>'Running Backs (RB)'!K39</f>
        <v/>
      </c>
      <c r="F77" s="28">
        <f>'Running Backs (RB)'!L39</f>
        <v/>
      </c>
      <c r="G77" t="n">
        <v>0</v>
      </c>
    </row>
    <row r="78">
      <c r="A78">
        <f>'Running Backs (RB)'!B40</f>
        <v/>
      </c>
      <c r="B78">
        <f>"RB"</f>
        <v/>
      </c>
      <c r="C78">
        <f>'Running Backs (RB)'!C40</f>
        <v/>
      </c>
      <c r="D78">
        <f>'Running Backs (RB)'!E40</f>
        <v/>
      </c>
      <c r="E78" s="28">
        <f>'Running Backs (RB)'!K40</f>
        <v/>
      </c>
      <c r="F78" s="28">
        <f>'Running Backs (RB)'!L40</f>
        <v/>
      </c>
      <c r="G78" t="n">
        <v>0</v>
      </c>
    </row>
    <row r="79">
      <c r="A79">
        <f>'Running Backs (RB)'!B41</f>
        <v/>
      </c>
      <c r="B79">
        <f>"RB"</f>
        <v/>
      </c>
      <c r="C79">
        <f>'Running Backs (RB)'!C41</f>
        <v/>
      </c>
      <c r="D79">
        <f>'Running Backs (RB)'!E41</f>
        <v/>
      </c>
      <c r="E79" s="28">
        <f>'Running Backs (RB)'!K41</f>
        <v/>
      </c>
      <c r="F79" s="28">
        <f>'Running Backs (RB)'!L41</f>
        <v/>
      </c>
      <c r="G79" t="n">
        <v>0</v>
      </c>
    </row>
    <row r="80">
      <c r="A80">
        <f>'Running Backs (RB)'!B42</f>
        <v/>
      </c>
      <c r="B80">
        <f>"RB"</f>
        <v/>
      </c>
      <c r="C80">
        <f>'Running Backs (RB)'!C42</f>
        <v/>
      </c>
      <c r="D80">
        <f>'Running Backs (RB)'!E42</f>
        <v/>
      </c>
      <c r="E80" s="28">
        <f>'Running Backs (RB)'!K42</f>
        <v/>
      </c>
      <c r="F80" s="28">
        <f>'Running Backs (RB)'!L42</f>
        <v/>
      </c>
      <c r="G80" t="n">
        <v>0</v>
      </c>
    </row>
    <row r="81">
      <c r="A81">
        <f>'Running Backs (RB)'!B43</f>
        <v/>
      </c>
      <c r="B81">
        <f>"RB"</f>
        <v/>
      </c>
      <c r="C81">
        <f>'Running Backs (RB)'!C43</f>
        <v/>
      </c>
      <c r="D81">
        <f>'Running Backs (RB)'!E43</f>
        <v/>
      </c>
      <c r="E81" s="28">
        <f>'Running Backs (RB)'!K43</f>
        <v/>
      </c>
      <c r="F81" s="28">
        <f>'Running Backs (RB)'!L43</f>
        <v/>
      </c>
      <c r="G81" t="n">
        <v>0</v>
      </c>
    </row>
    <row r="82">
      <c r="A82">
        <f>'Running Backs (RB)'!B44</f>
        <v/>
      </c>
      <c r="B82">
        <f>"RB"</f>
        <v/>
      </c>
      <c r="C82">
        <f>'Running Backs (RB)'!C44</f>
        <v/>
      </c>
      <c r="D82">
        <f>'Running Backs (RB)'!E44</f>
        <v/>
      </c>
      <c r="E82" s="28">
        <f>'Running Backs (RB)'!K44</f>
        <v/>
      </c>
      <c r="F82" s="28">
        <f>'Running Backs (RB)'!L44</f>
        <v/>
      </c>
      <c r="G82" t="n">
        <v>0</v>
      </c>
    </row>
    <row r="83">
      <c r="A83">
        <f>'Running Backs (RB)'!B45</f>
        <v/>
      </c>
      <c r="B83">
        <f>"RB"</f>
        <v/>
      </c>
      <c r="C83">
        <f>'Running Backs (RB)'!C45</f>
        <v/>
      </c>
      <c r="D83">
        <f>'Running Backs (RB)'!E45</f>
        <v/>
      </c>
      <c r="E83" s="28">
        <f>'Running Backs (RB)'!K45</f>
        <v/>
      </c>
      <c r="F83" s="28">
        <f>'Running Backs (RB)'!L45</f>
        <v/>
      </c>
      <c r="G83" t="n">
        <v>0</v>
      </c>
    </row>
    <row r="84">
      <c r="A84">
        <f>'Running Backs (RB)'!B47</f>
        <v/>
      </c>
      <c r="B84">
        <f>"RB"</f>
        <v/>
      </c>
      <c r="C84">
        <f>'Running Backs (RB)'!C47</f>
        <v/>
      </c>
      <c r="D84">
        <f>'Running Backs (RB)'!E47</f>
        <v/>
      </c>
      <c r="E84" s="28">
        <f>'Running Backs (RB)'!K47</f>
        <v/>
      </c>
      <c r="F84" s="28">
        <f>'Running Backs (RB)'!L47</f>
        <v/>
      </c>
      <c r="G84" t="n">
        <v>0</v>
      </c>
    </row>
    <row r="85">
      <c r="A85">
        <f>'Running Backs (RB)'!B48</f>
        <v/>
      </c>
      <c r="B85">
        <f>"RB"</f>
        <v/>
      </c>
      <c r="C85">
        <f>'Running Backs (RB)'!C48</f>
        <v/>
      </c>
      <c r="D85">
        <f>'Running Backs (RB)'!E48</f>
        <v/>
      </c>
      <c r="E85" s="28">
        <f>'Running Backs (RB)'!K48</f>
        <v/>
      </c>
      <c r="F85" s="28">
        <f>'Running Backs (RB)'!L48</f>
        <v/>
      </c>
      <c r="G85" t="n">
        <v>0</v>
      </c>
    </row>
    <row r="86">
      <c r="A86">
        <f>'Running Backs (RB)'!B49</f>
        <v/>
      </c>
      <c r="B86">
        <f>"RB"</f>
        <v/>
      </c>
      <c r="C86">
        <f>'Running Backs (RB)'!C49</f>
        <v/>
      </c>
      <c r="D86">
        <f>'Running Backs (RB)'!E49</f>
        <v/>
      </c>
      <c r="E86" s="28">
        <f>'Running Backs (RB)'!K49</f>
        <v/>
      </c>
      <c r="F86" s="28">
        <f>'Running Backs (RB)'!L49</f>
        <v/>
      </c>
      <c r="G86" t="n">
        <v>0</v>
      </c>
    </row>
    <row r="87">
      <c r="A87">
        <f>'Running Backs (RB)'!B50</f>
        <v/>
      </c>
      <c r="B87">
        <f>"RB"</f>
        <v/>
      </c>
      <c r="C87">
        <f>'Running Backs (RB)'!C50</f>
        <v/>
      </c>
      <c r="D87">
        <f>'Running Backs (RB)'!E50</f>
        <v/>
      </c>
      <c r="E87" s="28">
        <f>'Running Backs (RB)'!K50</f>
        <v/>
      </c>
      <c r="F87" s="28">
        <f>'Running Backs (RB)'!L50</f>
        <v/>
      </c>
      <c r="G87" t="n">
        <v>0</v>
      </c>
    </row>
    <row r="88">
      <c r="A88">
        <f>'Running Backs (RB)'!B51</f>
        <v/>
      </c>
      <c r="B88">
        <f>"RB"</f>
        <v/>
      </c>
      <c r="C88">
        <f>'Running Backs (RB)'!C51</f>
        <v/>
      </c>
      <c r="D88">
        <f>'Running Backs (RB)'!E51</f>
        <v/>
      </c>
      <c r="E88" s="28">
        <f>'Running Backs (RB)'!K51</f>
        <v/>
      </c>
      <c r="F88" s="28">
        <f>'Running Backs (RB)'!L51</f>
        <v/>
      </c>
      <c r="G88" t="n">
        <v>0</v>
      </c>
    </row>
    <row r="89">
      <c r="A89">
        <f>'Running Backs (RB)'!B52</f>
        <v/>
      </c>
      <c r="B89">
        <f>"RB"</f>
        <v/>
      </c>
      <c r="C89">
        <f>'Running Backs (RB)'!C52</f>
        <v/>
      </c>
      <c r="D89">
        <f>'Running Backs (RB)'!E52</f>
        <v/>
      </c>
      <c r="E89" s="28">
        <f>'Running Backs (RB)'!K52</f>
        <v/>
      </c>
      <c r="F89" s="28">
        <f>'Running Backs (RB)'!L52</f>
        <v/>
      </c>
      <c r="G89" t="n">
        <v>0</v>
      </c>
    </row>
    <row r="90">
      <c r="A90">
        <f>'Wide Receivers (WR)'!B9</f>
        <v/>
      </c>
      <c r="B90">
        <f>"WR"</f>
        <v/>
      </c>
      <c r="C90">
        <f>'Wide Receivers (WR)'!C9</f>
        <v/>
      </c>
      <c r="D90">
        <f>'Wide Receivers (WR)'!E9</f>
        <v/>
      </c>
      <c r="E90" s="28">
        <f>'Wide Receivers (WR)'!J9</f>
        <v/>
      </c>
      <c r="F90" s="28">
        <f>'Wide Receivers (WR)'!K9</f>
        <v/>
      </c>
      <c r="G90" t="n">
        <v>0</v>
      </c>
    </row>
    <row r="91">
      <c r="A91">
        <f>'Wide Receivers (WR)'!B10</f>
        <v/>
      </c>
      <c r="B91">
        <f>"WR"</f>
        <v/>
      </c>
      <c r="C91">
        <f>'Wide Receivers (WR)'!C10</f>
        <v/>
      </c>
      <c r="D91">
        <f>'Wide Receivers (WR)'!E10</f>
        <v/>
      </c>
      <c r="E91" s="28">
        <f>'Wide Receivers (WR)'!J10</f>
        <v/>
      </c>
      <c r="F91" s="28">
        <f>'Wide Receivers (WR)'!K10</f>
        <v/>
      </c>
      <c r="G91" t="n">
        <v>0</v>
      </c>
    </row>
    <row r="92">
      <c r="A92">
        <f>'Wide Receivers (WR)'!B11</f>
        <v/>
      </c>
      <c r="B92">
        <f>"WR"</f>
        <v/>
      </c>
      <c r="C92">
        <f>'Wide Receivers (WR)'!C11</f>
        <v/>
      </c>
      <c r="D92">
        <f>'Wide Receivers (WR)'!E11</f>
        <v/>
      </c>
      <c r="E92" s="28">
        <f>'Wide Receivers (WR)'!J11</f>
        <v/>
      </c>
      <c r="F92" s="28">
        <f>'Wide Receivers (WR)'!K11</f>
        <v/>
      </c>
      <c r="G92" t="n">
        <v>0</v>
      </c>
    </row>
    <row r="93">
      <c r="A93">
        <f>'Wide Receivers (WR)'!B12</f>
        <v/>
      </c>
      <c r="B93">
        <f>"WR"</f>
        <v/>
      </c>
      <c r="C93">
        <f>'Wide Receivers (WR)'!C12</f>
        <v/>
      </c>
      <c r="D93">
        <f>'Wide Receivers (WR)'!E12</f>
        <v/>
      </c>
      <c r="E93" s="28">
        <f>'Wide Receivers (WR)'!J12</f>
        <v/>
      </c>
      <c r="F93" s="28">
        <f>'Wide Receivers (WR)'!K12</f>
        <v/>
      </c>
      <c r="G93" t="n">
        <v>0</v>
      </c>
    </row>
    <row r="94">
      <c r="A94">
        <f>'Wide Receivers (WR)'!B13</f>
        <v/>
      </c>
      <c r="B94">
        <f>"WR"</f>
        <v/>
      </c>
      <c r="C94">
        <f>'Wide Receivers (WR)'!C13</f>
        <v/>
      </c>
      <c r="D94">
        <f>'Wide Receivers (WR)'!E13</f>
        <v/>
      </c>
      <c r="E94" s="28">
        <f>'Wide Receivers (WR)'!J13</f>
        <v/>
      </c>
      <c r="F94" s="28">
        <f>'Wide Receivers (WR)'!K13</f>
        <v/>
      </c>
      <c r="G94" t="n">
        <v>0</v>
      </c>
    </row>
    <row r="95">
      <c r="A95">
        <f>'Wide Receivers (WR)'!B14</f>
        <v/>
      </c>
      <c r="B95">
        <f>"WR"</f>
        <v/>
      </c>
      <c r="C95">
        <f>'Wide Receivers (WR)'!C14</f>
        <v/>
      </c>
      <c r="D95">
        <f>'Wide Receivers (WR)'!E14</f>
        <v/>
      </c>
      <c r="E95" s="28">
        <f>'Wide Receivers (WR)'!J14</f>
        <v/>
      </c>
      <c r="F95" s="28">
        <f>'Wide Receivers (WR)'!K14</f>
        <v/>
      </c>
      <c r="G95" t="n">
        <v>0</v>
      </c>
    </row>
    <row r="96">
      <c r="A96">
        <f>'Wide Receivers (WR)'!B15</f>
        <v/>
      </c>
      <c r="B96">
        <f>"WR"</f>
        <v/>
      </c>
      <c r="C96">
        <f>'Wide Receivers (WR)'!C15</f>
        <v/>
      </c>
      <c r="D96">
        <f>'Wide Receivers (WR)'!E15</f>
        <v/>
      </c>
      <c r="E96" s="28">
        <f>'Wide Receivers (WR)'!J15</f>
        <v/>
      </c>
      <c r="F96" s="28">
        <f>'Wide Receivers (WR)'!K15</f>
        <v/>
      </c>
      <c r="G96" t="n">
        <v>0</v>
      </c>
    </row>
    <row r="97">
      <c r="A97">
        <f>'Wide Receivers (WR)'!B17</f>
        <v/>
      </c>
      <c r="B97">
        <f>"WR"</f>
        <v/>
      </c>
      <c r="C97">
        <f>'Wide Receivers (WR)'!C17</f>
        <v/>
      </c>
      <c r="D97">
        <f>'Wide Receivers (WR)'!E17</f>
        <v/>
      </c>
      <c r="E97" s="28">
        <f>'Wide Receivers (WR)'!J17</f>
        <v/>
      </c>
      <c r="F97" s="28">
        <f>'Wide Receivers (WR)'!K17</f>
        <v/>
      </c>
      <c r="G97" t="n">
        <v>0</v>
      </c>
    </row>
    <row r="98">
      <c r="A98">
        <f>'Wide Receivers (WR)'!B19</f>
        <v/>
      </c>
      <c r="B98">
        <f>"WR"</f>
        <v/>
      </c>
      <c r="C98">
        <f>'Wide Receivers (WR)'!C19</f>
        <v/>
      </c>
      <c r="D98">
        <f>'Wide Receivers (WR)'!E19</f>
        <v/>
      </c>
      <c r="E98" s="28">
        <f>'Wide Receivers (WR)'!J19</f>
        <v/>
      </c>
      <c r="F98" s="28">
        <f>'Wide Receivers (WR)'!K19</f>
        <v/>
      </c>
      <c r="G98" t="n">
        <v>0</v>
      </c>
    </row>
    <row r="99">
      <c r="A99">
        <f>'Wide Receivers (WR)'!B20</f>
        <v/>
      </c>
      <c r="B99">
        <f>"WR"</f>
        <v/>
      </c>
      <c r="C99">
        <f>'Wide Receivers (WR)'!C20</f>
        <v/>
      </c>
      <c r="D99">
        <f>'Wide Receivers (WR)'!E20</f>
        <v/>
      </c>
      <c r="E99" s="28">
        <f>'Wide Receivers (WR)'!J20</f>
        <v/>
      </c>
      <c r="F99" s="28">
        <f>'Wide Receivers (WR)'!K20</f>
        <v/>
      </c>
      <c r="G99" t="n">
        <v>0</v>
      </c>
    </row>
    <row r="100">
      <c r="A100">
        <f>'Wide Receivers (WR)'!B21</f>
        <v/>
      </c>
      <c r="B100">
        <f>"WR"</f>
        <v/>
      </c>
      <c r="C100">
        <f>'Wide Receivers (WR)'!C21</f>
        <v/>
      </c>
      <c r="D100">
        <f>'Wide Receivers (WR)'!E21</f>
        <v/>
      </c>
      <c r="E100" s="28">
        <f>'Wide Receivers (WR)'!J21</f>
        <v/>
      </c>
      <c r="F100" s="28">
        <f>'Wide Receivers (WR)'!K21</f>
        <v/>
      </c>
      <c r="G100" t="n">
        <v>0</v>
      </c>
    </row>
    <row r="101">
      <c r="A101">
        <f>'Wide Receivers (WR)'!B22</f>
        <v/>
      </c>
      <c r="B101">
        <f>"WR"</f>
        <v/>
      </c>
      <c r="C101">
        <f>'Wide Receivers (WR)'!C22</f>
        <v/>
      </c>
      <c r="D101">
        <f>'Wide Receivers (WR)'!E22</f>
        <v/>
      </c>
      <c r="E101" s="28">
        <f>'Wide Receivers (WR)'!J22</f>
        <v/>
      </c>
      <c r="F101" s="28">
        <f>'Wide Receivers (WR)'!K22</f>
        <v/>
      </c>
      <c r="G101" t="n">
        <v>0</v>
      </c>
    </row>
    <row r="102">
      <c r="A102">
        <f>'Wide Receivers (WR)'!B23</f>
        <v/>
      </c>
      <c r="B102">
        <f>"WR"</f>
        <v/>
      </c>
      <c r="C102">
        <f>'Wide Receivers (WR)'!C23</f>
        <v/>
      </c>
      <c r="D102">
        <f>'Wide Receivers (WR)'!E23</f>
        <v/>
      </c>
      <c r="E102" s="28">
        <f>'Wide Receivers (WR)'!J23</f>
        <v/>
      </c>
      <c r="F102" s="28">
        <f>'Wide Receivers (WR)'!K23</f>
        <v/>
      </c>
      <c r="G102" t="n">
        <v>0</v>
      </c>
    </row>
    <row r="103">
      <c r="A103">
        <f>'Wide Receivers (WR)'!B24</f>
        <v/>
      </c>
      <c r="B103">
        <f>"WR"</f>
        <v/>
      </c>
      <c r="C103">
        <f>'Wide Receivers (WR)'!C24</f>
        <v/>
      </c>
      <c r="D103">
        <f>'Wide Receivers (WR)'!E24</f>
        <v/>
      </c>
      <c r="E103" s="28">
        <f>'Wide Receivers (WR)'!J24</f>
        <v/>
      </c>
      <c r="F103" s="28">
        <f>'Wide Receivers (WR)'!K24</f>
        <v/>
      </c>
      <c r="G103" t="n">
        <v>0</v>
      </c>
    </row>
    <row r="104">
      <c r="A104">
        <f>'Wide Receivers (WR)'!B25</f>
        <v/>
      </c>
      <c r="B104">
        <f>"WR"</f>
        <v/>
      </c>
      <c r="C104">
        <f>'Wide Receivers (WR)'!C25</f>
        <v/>
      </c>
      <c r="D104">
        <f>'Wide Receivers (WR)'!E25</f>
        <v/>
      </c>
      <c r="E104" s="28">
        <f>'Wide Receivers (WR)'!J25</f>
        <v/>
      </c>
      <c r="F104" s="28">
        <f>'Wide Receivers (WR)'!K25</f>
        <v/>
      </c>
      <c r="G104" t="n">
        <v>0</v>
      </c>
    </row>
    <row r="105">
      <c r="A105">
        <f>'Wide Receivers (WR)'!B26</f>
        <v/>
      </c>
      <c r="B105">
        <f>"WR"</f>
        <v/>
      </c>
      <c r="C105">
        <f>'Wide Receivers (WR)'!C26</f>
        <v/>
      </c>
      <c r="D105">
        <f>'Wide Receivers (WR)'!E26</f>
        <v/>
      </c>
      <c r="E105" s="28">
        <f>'Wide Receivers (WR)'!J26</f>
        <v/>
      </c>
      <c r="F105" s="28">
        <f>'Wide Receivers (WR)'!K26</f>
        <v/>
      </c>
      <c r="G105" t="n">
        <v>0</v>
      </c>
    </row>
    <row r="106">
      <c r="A106">
        <f>'Wide Receivers (WR)'!B27</f>
        <v/>
      </c>
      <c r="B106">
        <f>"WR"</f>
        <v/>
      </c>
      <c r="C106">
        <f>'Wide Receivers (WR)'!C27</f>
        <v/>
      </c>
      <c r="D106">
        <f>'Wide Receivers (WR)'!E27</f>
        <v/>
      </c>
      <c r="E106" s="28">
        <f>'Wide Receivers (WR)'!J27</f>
        <v/>
      </c>
      <c r="F106" s="28">
        <f>'Wide Receivers (WR)'!K27</f>
        <v/>
      </c>
      <c r="G106" t="n">
        <v>0</v>
      </c>
    </row>
    <row r="107">
      <c r="A107">
        <f>'Wide Receivers (WR)'!B28</f>
        <v/>
      </c>
      <c r="B107">
        <f>"WR"</f>
        <v/>
      </c>
      <c r="C107">
        <f>'Wide Receivers (WR)'!C28</f>
        <v/>
      </c>
      <c r="D107">
        <f>'Wide Receivers (WR)'!E28</f>
        <v/>
      </c>
      <c r="E107" s="28">
        <f>'Wide Receivers (WR)'!J28</f>
        <v/>
      </c>
      <c r="F107" s="28">
        <f>'Wide Receivers (WR)'!K28</f>
        <v/>
      </c>
      <c r="G107" t="n">
        <v>0</v>
      </c>
    </row>
    <row r="108">
      <c r="A108">
        <f>'Wide Receivers (WR)'!B29</f>
        <v/>
      </c>
      <c r="B108">
        <f>"WR"</f>
        <v/>
      </c>
      <c r="C108">
        <f>'Wide Receivers (WR)'!C29</f>
        <v/>
      </c>
      <c r="D108">
        <f>'Wide Receivers (WR)'!E29</f>
        <v/>
      </c>
      <c r="E108" s="28">
        <f>'Wide Receivers (WR)'!J29</f>
        <v/>
      </c>
      <c r="F108" s="28">
        <f>'Wide Receivers (WR)'!K29</f>
        <v/>
      </c>
      <c r="G108" t="n">
        <v>0</v>
      </c>
    </row>
    <row r="109">
      <c r="A109">
        <f>'Wide Receivers (WR)'!B30</f>
        <v/>
      </c>
      <c r="B109">
        <f>"WR"</f>
        <v/>
      </c>
      <c r="C109">
        <f>'Wide Receivers (WR)'!C30</f>
        <v/>
      </c>
      <c r="D109">
        <f>'Wide Receivers (WR)'!E30</f>
        <v/>
      </c>
      <c r="E109" s="28">
        <f>'Wide Receivers (WR)'!J30</f>
        <v/>
      </c>
      <c r="F109" s="28">
        <f>'Wide Receivers (WR)'!K30</f>
        <v/>
      </c>
      <c r="G109" t="n">
        <v>0</v>
      </c>
    </row>
    <row r="110">
      <c r="A110">
        <f>'Wide Receivers (WR)'!B31</f>
        <v/>
      </c>
      <c r="B110">
        <f>"WR"</f>
        <v/>
      </c>
      <c r="C110">
        <f>'Wide Receivers (WR)'!C31</f>
        <v/>
      </c>
      <c r="D110">
        <f>'Wide Receivers (WR)'!E31</f>
        <v/>
      </c>
      <c r="E110" s="28">
        <f>'Wide Receivers (WR)'!J31</f>
        <v/>
      </c>
      <c r="F110" s="28">
        <f>'Wide Receivers (WR)'!K31</f>
        <v/>
      </c>
      <c r="G110" t="n">
        <v>0</v>
      </c>
    </row>
    <row r="111">
      <c r="A111">
        <f>'Wide Receivers (WR)'!B32</f>
        <v/>
      </c>
      <c r="B111">
        <f>"WR"</f>
        <v/>
      </c>
      <c r="C111">
        <f>'Wide Receivers (WR)'!C32</f>
        <v/>
      </c>
      <c r="D111">
        <f>'Wide Receivers (WR)'!E32</f>
        <v/>
      </c>
      <c r="E111" s="28">
        <f>'Wide Receivers (WR)'!J32</f>
        <v/>
      </c>
      <c r="F111" s="28">
        <f>'Wide Receivers (WR)'!K32</f>
        <v/>
      </c>
      <c r="G111" t="n">
        <v>0</v>
      </c>
    </row>
    <row r="112">
      <c r="A112">
        <f>'Wide Receivers (WR)'!B33</f>
        <v/>
      </c>
      <c r="B112">
        <f>"WR"</f>
        <v/>
      </c>
      <c r="C112">
        <f>'Wide Receivers (WR)'!C33</f>
        <v/>
      </c>
      <c r="D112">
        <f>'Wide Receivers (WR)'!E33</f>
        <v/>
      </c>
      <c r="E112" s="28">
        <f>'Wide Receivers (WR)'!J33</f>
        <v/>
      </c>
      <c r="F112" s="28">
        <f>'Wide Receivers (WR)'!K33</f>
        <v/>
      </c>
      <c r="G112" t="n">
        <v>0</v>
      </c>
    </row>
    <row r="113">
      <c r="A113">
        <f>'Wide Receivers (WR)'!B34</f>
        <v/>
      </c>
      <c r="B113">
        <f>"WR"</f>
        <v/>
      </c>
      <c r="C113">
        <f>'Wide Receivers (WR)'!C34</f>
        <v/>
      </c>
      <c r="D113">
        <f>'Wide Receivers (WR)'!E34</f>
        <v/>
      </c>
      <c r="E113" s="28">
        <f>'Wide Receivers (WR)'!J34</f>
        <v/>
      </c>
      <c r="F113" s="28">
        <f>'Wide Receivers (WR)'!K34</f>
        <v/>
      </c>
      <c r="G113" t="n">
        <v>0</v>
      </c>
    </row>
    <row r="114">
      <c r="A114">
        <f>'Wide Receivers (WR)'!B35</f>
        <v/>
      </c>
      <c r="B114">
        <f>"WR"</f>
        <v/>
      </c>
      <c r="C114">
        <f>'Wide Receivers (WR)'!C35</f>
        <v/>
      </c>
      <c r="D114">
        <f>'Wide Receivers (WR)'!E35</f>
        <v/>
      </c>
      <c r="E114" s="28">
        <f>'Wide Receivers (WR)'!J35</f>
        <v/>
      </c>
      <c r="F114" s="28">
        <f>'Wide Receivers (WR)'!K35</f>
        <v/>
      </c>
      <c r="G114" t="n">
        <v>0</v>
      </c>
    </row>
    <row r="115">
      <c r="A115">
        <f>'Wide Receivers (WR)'!B36</f>
        <v/>
      </c>
      <c r="B115">
        <f>"WR"</f>
        <v/>
      </c>
      <c r="C115">
        <f>'Wide Receivers (WR)'!C36</f>
        <v/>
      </c>
      <c r="D115">
        <f>'Wide Receivers (WR)'!E36</f>
        <v/>
      </c>
      <c r="E115" s="28">
        <f>'Wide Receivers (WR)'!J36</f>
        <v/>
      </c>
      <c r="F115" s="28">
        <f>'Wide Receivers (WR)'!K36</f>
        <v/>
      </c>
      <c r="G115" t="n">
        <v>0</v>
      </c>
    </row>
    <row r="116">
      <c r="A116">
        <f>'Wide Receivers (WR)'!B37</f>
        <v/>
      </c>
      <c r="B116">
        <f>"WR"</f>
        <v/>
      </c>
      <c r="C116">
        <f>'Wide Receivers (WR)'!C37</f>
        <v/>
      </c>
      <c r="D116">
        <f>'Wide Receivers (WR)'!E37</f>
        <v/>
      </c>
      <c r="E116" s="28">
        <f>'Wide Receivers (WR)'!J37</f>
        <v/>
      </c>
      <c r="F116" s="28">
        <f>'Wide Receivers (WR)'!K37</f>
        <v/>
      </c>
      <c r="G116" t="n">
        <v>0</v>
      </c>
    </row>
    <row r="117">
      <c r="A117">
        <f>'Wide Receivers (WR)'!B38</f>
        <v/>
      </c>
      <c r="B117">
        <f>"WR"</f>
        <v/>
      </c>
      <c r="C117">
        <f>'Wide Receivers (WR)'!C38</f>
        <v/>
      </c>
      <c r="D117">
        <f>'Wide Receivers (WR)'!E38</f>
        <v/>
      </c>
      <c r="E117" s="28">
        <f>'Wide Receivers (WR)'!J38</f>
        <v/>
      </c>
      <c r="F117" s="28">
        <f>'Wide Receivers (WR)'!K38</f>
        <v/>
      </c>
      <c r="G117" t="n">
        <v>0</v>
      </c>
    </row>
    <row r="118">
      <c r="A118">
        <f>'Wide Receivers (WR)'!B39</f>
        <v/>
      </c>
      <c r="B118">
        <f>"WR"</f>
        <v/>
      </c>
      <c r="C118">
        <f>'Wide Receivers (WR)'!C39</f>
        <v/>
      </c>
      <c r="D118">
        <f>'Wide Receivers (WR)'!E39</f>
        <v/>
      </c>
      <c r="E118" s="28">
        <f>'Wide Receivers (WR)'!J39</f>
        <v/>
      </c>
      <c r="F118" s="28">
        <f>'Wide Receivers (WR)'!K39</f>
        <v/>
      </c>
      <c r="G118" t="n">
        <v>0</v>
      </c>
    </row>
    <row r="119">
      <c r="A119">
        <f>'Wide Receivers (WR)'!B40</f>
        <v/>
      </c>
      <c r="B119">
        <f>"WR"</f>
        <v/>
      </c>
      <c r="C119">
        <f>'Wide Receivers (WR)'!C40</f>
        <v/>
      </c>
      <c r="D119">
        <f>'Wide Receivers (WR)'!E40</f>
        <v/>
      </c>
      <c r="E119" s="28">
        <f>'Wide Receivers (WR)'!J40</f>
        <v/>
      </c>
      <c r="F119" s="28">
        <f>'Wide Receivers (WR)'!K40</f>
        <v/>
      </c>
      <c r="G119" t="n">
        <v>0</v>
      </c>
    </row>
    <row r="120">
      <c r="A120">
        <f>'Wide Receivers (WR)'!B41</f>
        <v/>
      </c>
      <c r="B120">
        <f>"WR"</f>
        <v/>
      </c>
      <c r="C120">
        <f>'Wide Receivers (WR)'!C41</f>
        <v/>
      </c>
      <c r="D120">
        <f>'Wide Receivers (WR)'!E41</f>
        <v/>
      </c>
      <c r="E120" s="28">
        <f>'Wide Receivers (WR)'!J41</f>
        <v/>
      </c>
      <c r="F120" s="28">
        <f>'Wide Receivers (WR)'!K41</f>
        <v/>
      </c>
      <c r="G120" t="n">
        <v>0</v>
      </c>
    </row>
    <row r="121">
      <c r="A121">
        <f>'Wide Receivers (WR)'!B43</f>
        <v/>
      </c>
      <c r="B121">
        <f>"WR"</f>
        <v/>
      </c>
      <c r="C121">
        <f>'Wide Receivers (WR)'!C43</f>
        <v/>
      </c>
      <c r="D121">
        <f>'Wide Receivers (WR)'!E43</f>
        <v/>
      </c>
      <c r="E121" s="28">
        <f>'Wide Receivers (WR)'!J43</f>
        <v/>
      </c>
      <c r="F121" s="28">
        <f>'Wide Receivers (WR)'!K43</f>
        <v/>
      </c>
      <c r="G121" t="n">
        <v>0</v>
      </c>
    </row>
    <row r="122">
      <c r="A122">
        <f>'Wide Receivers (WR)'!B44</f>
        <v/>
      </c>
      <c r="B122">
        <f>"WR"</f>
        <v/>
      </c>
      <c r="C122">
        <f>'Wide Receivers (WR)'!C44</f>
        <v/>
      </c>
      <c r="D122">
        <f>'Wide Receivers (WR)'!E44</f>
        <v/>
      </c>
      <c r="E122" s="28">
        <f>'Wide Receivers (WR)'!J44</f>
        <v/>
      </c>
      <c r="F122" s="28">
        <f>'Wide Receivers (WR)'!K44</f>
        <v/>
      </c>
      <c r="G122" t="n">
        <v>0</v>
      </c>
    </row>
    <row r="123">
      <c r="A123">
        <f>'Wide Receivers (WR)'!B45</f>
        <v/>
      </c>
      <c r="B123">
        <f>"WR"</f>
        <v/>
      </c>
      <c r="C123">
        <f>'Wide Receivers (WR)'!C45</f>
        <v/>
      </c>
      <c r="D123">
        <f>'Wide Receivers (WR)'!E45</f>
        <v/>
      </c>
      <c r="E123" s="28">
        <f>'Wide Receivers (WR)'!J45</f>
        <v/>
      </c>
      <c r="F123" s="28">
        <f>'Wide Receivers (WR)'!K45</f>
        <v/>
      </c>
      <c r="G123" t="n">
        <v>0</v>
      </c>
    </row>
    <row r="124">
      <c r="A124">
        <f>'Wide Receivers (WR)'!B46</f>
        <v/>
      </c>
      <c r="B124">
        <f>"WR"</f>
        <v/>
      </c>
      <c r="C124">
        <f>'Wide Receivers (WR)'!C46</f>
        <v/>
      </c>
      <c r="D124">
        <f>'Wide Receivers (WR)'!E46</f>
        <v/>
      </c>
      <c r="E124" s="28">
        <f>'Wide Receivers (WR)'!J46</f>
        <v/>
      </c>
      <c r="F124" s="28">
        <f>'Wide Receivers (WR)'!K46</f>
        <v/>
      </c>
      <c r="G124" t="n">
        <v>0</v>
      </c>
    </row>
    <row r="125">
      <c r="A125">
        <f>'Wide Receivers (WR)'!B47</f>
        <v/>
      </c>
      <c r="B125">
        <f>"WR"</f>
        <v/>
      </c>
      <c r="C125">
        <f>'Wide Receivers (WR)'!C47</f>
        <v/>
      </c>
      <c r="D125">
        <f>'Wide Receivers (WR)'!E47</f>
        <v/>
      </c>
      <c r="E125" s="28">
        <f>'Wide Receivers (WR)'!J47</f>
        <v/>
      </c>
      <c r="F125" s="28">
        <f>'Wide Receivers (WR)'!K47</f>
        <v/>
      </c>
      <c r="G125" t="n">
        <v>0</v>
      </c>
    </row>
    <row r="126">
      <c r="A126">
        <f>'Wide Receivers (WR)'!B48</f>
        <v/>
      </c>
      <c r="B126">
        <f>"WR"</f>
        <v/>
      </c>
      <c r="C126">
        <f>'Wide Receivers (WR)'!C48</f>
        <v/>
      </c>
      <c r="D126">
        <f>'Wide Receivers (WR)'!E48</f>
        <v/>
      </c>
      <c r="E126" s="28">
        <f>'Wide Receivers (WR)'!J48</f>
        <v/>
      </c>
      <c r="F126" s="28">
        <f>'Wide Receivers (WR)'!K48</f>
        <v/>
      </c>
      <c r="G126" t="n">
        <v>0</v>
      </c>
    </row>
    <row r="127">
      <c r="A127">
        <f>'Wide Receivers (WR)'!B49</f>
        <v/>
      </c>
      <c r="B127">
        <f>"WR"</f>
        <v/>
      </c>
      <c r="C127">
        <f>'Wide Receivers (WR)'!C49</f>
        <v/>
      </c>
      <c r="D127">
        <f>'Wide Receivers (WR)'!E49</f>
        <v/>
      </c>
      <c r="E127" s="28">
        <f>'Wide Receivers (WR)'!J49</f>
        <v/>
      </c>
      <c r="F127" s="28">
        <f>'Wide Receivers (WR)'!K49</f>
        <v/>
      </c>
      <c r="G127" t="n">
        <v>0</v>
      </c>
    </row>
    <row r="128">
      <c r="A128">
        <f>'Wide Receivers (WR)'!B50</f>
        <v/>
      </c>
      <c r="B128">
        <f>"WR"</f>
        <v/>
      </c>
      <c r="C128">
        <f>'Wide Receivers (WR)'!C50</f>
        <v/>
      </c>
      <c r="D128">
        <f>'Wide Receivers (WR)'!E50</f>
        <v/>
      </c>
      <c r="E128" s="28">
        <f>'Wide Receivers (WR)'!J50</f>
        <v/>
      </c>
      <c r="F128" s="28">
        <f>'Wide Receivers (WR)'!K50</f>
        <v/>
      </c>
      <c r="G128" t="n">
        <v>0</v>
      </c>
    </row>
    <row r="129">
      <c r="A129">
        <f>'Wide Receivers (WR)'!B51</f>
        <v/>
      </c>
      <c r="B129">
        <f>"WR"</f>
        <v/>
      </c>
      <c r="C129">
        <f>'Wide Receivers (WR)'!C51</f>
        <v/>
      </c>
      <c r="D129">
        <f>'Wide Receivers (WR)'!E51</f>
        <v/>
      </c>
      <c r="E129" s="28">
        <f>'Wide Receivers (WR)'!J51</f>
        <v/>
      </c>
      <c r="F129" s="28">
        <f>'Wide Receivers (WR)'!K51</f>
        <v/>
      </c>
      <c r="G129" t="n">
        <v>0</v>
      </c>
    </row>
    <row r="130">
      <c r="A130">
        <f>'Wide Receivers (WR)'!B52</f>
        <v/>
      </c>
      <c r="B130">
        <f>"WR"</f>
        <v/>
      </c>
      <c r="C130">
        <f>'Wide Receivers (WR)'!C52</f>
        <v/>
      </c>
      <c r="D130">
        <f>'Wide Receivers (WR)'!E52</f>
        <v/>
      </c>
      <c r="E130" s="28">
        <f>'Wide Receivers (WR)'!J52</f>
        <v/>
      </c>
      <c r="F130" s="28">
        <f>'Wide Receivers (WR)'!K52</f>
        <v/>
      </c>
      <c r="G130" t="n">
        <v>0</v>
      </c>
    </row>
    <row r="131">
      <c r="A131">
        <f>'Wide Receivers (WR)'!B53</f>
        <v/>
      </c>
      <c r="B131">
        <f>"WR"</f>
        <v/>
      </c>
      <c r="C131">
        <f>'Wide Receivers (WR)'!C53</f>
        <v/>
      </c>
      <c r="D131">
        <f>'Wide Receivers (WR)'!E53</f>
        <v/>
      </c>
      <c r="E131" s="28">
        <f>'Wide Receivers (WR)'!J53</f>
        <v/>
      </c>
      <c r="F131" s="28">
        <f>'Wide Receivers (WR)'!K53</f>
        <v/>
      </c>
      <c r="G131" t="n">
        <v>0</v>
      </c>
    </row>
    <row r="132">
      <c r="A132">
        <f>'Wide Receivers (WR)'!B54</f>
        <v/>
      </c>
      <c r="B132">
        <f>"WR"</f>
        <v/>
      </c>
      <c r="C132">
        <f>'Wide Receivers (WR)'!C54</f>
        <v/>
      </c>
      <c r="D132">
        <f>'Wide Receivers (WR)'!E54</f>
        <v/>
      </c>
      <c r="E132" s="28">
        <f>'Wide Receivers (WR)'!J54</f>
        <v/>
      </c>
      <c r="F132" s="28">
        <f>'Wide Receivers (WR)'!K54</f>
        <v/>
      </c>
      <c r="G132" t="n">
        <v>0</v>
      </c>
    </row>
    <row r="133">
      <c r="A133">
        <f>'Wide Receivers (WR)'!B56</f>
        <v/>
      </c>
      <c r="B133">
        <f>"WR"</f>
        <v/>
      </c>
      <c r="C133">
        <f>'Wide Receivers (WR)'!C56</f>
        <v/>
      </c>
      <c r="D133">
        <f>'Wide Receivers (WR)'!E56</f>
        <v/>
      </c>
      <c r="E133" s="28">
        <f>'Wide Receivers (WR)'!J56</f>
        <v/>
      </c>
      <c r="F133" s="28">
        <f>'Wide Receivers (WR)'!K56</f>
        <v/>
      </c>
      <c r="G133" t="n">
        <v>0</v>
      </c>
    </row>
    <row r="134">
      <c r="A134">
        <f>'Wide Receivers (WR)'!B57</f>
        <v/>
      </c>
      <c r="B134">
        <f>"WR"</f>
        <v/>
      </c>
      <c r="C134">
        <f>'Wide Receivers (WR)'!C57</f>
        <v/>
      </c>
      <c r="D134">
        <f>'Wide Receivers (WR)'!E57</f>
        <v/>
      </c>
      <c r="E134" s="28">
        <f>'Wide Receivers (WR)'!J57</f>
        <v/>
      </c>
      <c r="F134" s="28">
        <f>'Wide Receivers (WR)'!K57</f>
        <v/>
      </c>
      <c r="G134" t="n">
        <v>0</v>
      </c>
    </row>
    <row r="135">
      <c r="A135">
        <f>'Wide Receivers (WR)'!B58</f>
        <v/>
      </c>
      <c r="B135">
        <f>"WR"</f>
        <v/>
      </c>
      <c r="C135">
        <f>'Wide Receivers (WR)'!C58</f>
        <v/>
      </c>
      <c r="D135">
        <f>'Wide Receivers (WR)'!E58</f>
        <v/>
      </c>
      <c r="E135" s="28">
        <f>'Wide Receivers (WR)'!J58</f>
        <v/>
      </c>
      <c r="F135" s="28">
        <f>'Wide Receivers (WR)'!K58</f>
        <v/>
      </c>
      <c r="G135" t="n">
        <v>0</v>
      </c>
    </row>
    <row r="136">
      <c r="A136">
        <f>'Wide Receivers (WR)'!B59</f>
        <v/>
      </c>
      <c r="B136">
        <f>"WR"</f>
        <v/>
      </c>
      <c r="C136">
        <f>'Wide Receivers (WR)'!C59</f>
        <v/>
      </c>
      <c r="D136">
        <f>'Wide Receivers (WR)'!E59</f>
        <v/>
      </c>
      <c r="E136" s="28">
        <f>'Wide Receivers (WR)'!J59</f>
        <v/>
      </c>
      <c r="F136" s="28">
        <f>'Wide Receivers (WR)'!K59</f>
        <v/>
      </c>
      <c r="G136" t="n">
        <v>0</v>
      </c>
    </row>
    <row r="137">
      <c r="A137">
        <f>'Wide Receivers (WR)'!B60</f>
        <v/>
      </c>
      <c r="B137">
        <f>"WR"</f>
        <v/>
      </c>
      <c r="C137">
        <f>'Wide Receivers (WR)'!C60</f>
        <v/>
      </c>
      <c r="D137">
        <f>'Wide Receivers (WR)'!E60</f>
        <v/>
      </c>
      <c r="E137" s="28">
        <f>'Wide Receivers (WR)'!J60</f>
        <v/>
      </c>
      <c r="F137" s="28">
        <f>'Wide Receivers (WR)'!K60</f>
        <v/>
      </c>
      <c r="G137" t="n">
        <v>0</v>
      </c>
    </row>
    <row r="138">
      <c r="A138">
        <f>'Wide Receivers (WR)'!B61</f>
        <v/>
      </c>
      <c r="B138">
        <f>"WR"</f>
        <v/>
      </c>
      <c r="C138">
        <f>'Wide Receivers (WR)'!C61</f>
        <v/>
      </c>
      <c r="D138">
        <f>'Wide Receivers (WR)'!E61</f>
        <v/>
      </c>
      <c r="E138" s="28">
        <f>'Wide Receivers (WR)'!J61</f>
        <v/>
      </c>
      <c r="F138" s="28">
        <f>'Wide Receivers (WR)'!K61</f>
        <v/>
      </c>
      <c r="G138" t="n">
        <v>0</v>
      </c>
    </row>
    <row r="139">
      <c r="A139">
        <f>'Wide Receivers (WR)'!B62</f>
        <v/>
      </c>
      <c r="B139">
        <f>"WR"</f>
        <v/>
      </c>
      <c r="C139">
        <f>'Wide Receivers (WR)'!C62</f>
        <v/>
      </c>
      <c r="D139">
        <f>'Wide Receivers (WR)'!E62</f>
        <v/>
      </c>
      <c r="E139" s="28">
        <f>'Wide Receivers (WR)'!J62</f>
        <v/>
      </c>
      <c r="F139" s="28">
        <f>'Wide Receivers (WR)'!K62</f>
        <v/>
      </c>
      <c r="G139" t="n">
        <v>0</v>
      </c>
    </row>
    <row r="140">
      <c r="A140">
        <f>'Wide Receivers (WR)'!B63</f>
        <v/>
      </c>
      <c r="B140">
        <f>"WR"</f>
        <v/>
      </c>
      <c r="C140">
        <f>'Wide Receivers (WR)'!C63</f>
        <v/>
      </c>
      <c r="D140">
        <f>'Wide Receivers (WR)'!E63</f>
        <v/>
      </c>
      <c r="E140" s="28">
        <f>'Wide Receivers (WR)'!J63</f>
        <v/>
      </c>
      <c r="F140" s="28">
        <f>'Wide Receivers (WR)'!K63</f>
        <v/>
      </c>
      <c r="G140" t="n">
        <v>0</v>
      </c>
    </row>
    <row r="141">
      <c r="A141">
        <f>'Wide Receivers (WR)'!B64</f>
        <v/>
      </c>
      <c r="B141">
        <f>"WR"</f>
        <v/>
      </c>
      <c r="C141">
        <f>'Wide Receivers (WR)'!C64</f>
        <v/>
      </c>
      <c r="D141">
        <f>'Wide Receivers (WR)'!E64</f>
        <v/>
      </c>
      <c r="E141" s="28">
        <f>'Wide Receivers (WR)'!J64</f>
        <v/>
      </c>
      <c r="F141" s="28">
        <f>'Wide Receivers (WR)'!K64</f>
        <v/>
      </c>
      <c r="G141" t="n">
        <v>0</v>
      </c>
    </row>
    <row r="142">
      <c r="A142">
        <f>'Wide Receivers (WR)'!B65</f>
        <v/>
      </c>
      <c r="B142">
        <f>"WR"</f>
        <v/>
      </c>
      <c r="C142">
        <f>'Wide Receivers (WR)'!C65</f>
        <v/>
      </c>
      <c r="D142">
        <f>'Wide Receivers (WR)'!E65</f>
        <v/>
      </c>
      <c r="E142" s="28">
        <f>'Wide Receivers (WR)'!J65</f>
        <v/>
      </c>
      <c r="F142" s="28">
        <f>'Wide Receivers (WR)'!K65</f>
        <v/>
      </c>
      <c r="G142" t="n">
        <v>0</v>
      </c>
    </row>
    <row r="143">
      <c r="A143">
        <f>'Wide Receivers (WR)'!B66</f>
        <v/>
      </c>
      <c r="B143">
        <f>"WR"</f>
        <v/>
      </c>
      <c r="C143">
        <f>'Wide Receivers (WR)'!C66</f>
        <v/>
      </c>
      <c r="D143">
        <f>'Wide Receivers (WR)'!E66</f>
        <v/>
      </c>
      <c r="E143" s="28">
        <f>'Wide Receivers (WR)'!J66</f>
        <v/>
      </c>
      <c r="F143" s="28">
        <f>'Wide Receivers (WR)'!K66</f>
        <v/>
      </c>
      <c r="G143" t="n">
        <v>0</v>
      </c>
    </row>
    <row r="144">
      <c r="A144">
        <f>'Wide Receivers (WR)'!B67</f>
        <v/>
      </c>
      <c r="B144">
        <f>"WR"</f>
        <v/>
      </c>
      <c r="C144">
        <f>'Wide Receivers (WR)'!C67</f>
        <v/>
      </c>
      <c r="D144">
        <f>'Wide Receivers (WR)'!E67</f>
        <v/>
      </c>
      <c r="E144" s="28">
        <f>'Wide Receivers (WR)'!J67</f>
        <v/>
      </c>
      <c r="F144" s="28">
        <f>'Wide Receivers (WR)'!K67</f>
        <v/>
      </c>
      <c r="G144" t="n">
        <v>0</v>
      </c>
    </row>
    <row r="145">
      <c r="A145">
        <f>'Tight Ends (TE)'!B6</f>
        <v/>
      </c>
      <c r="B145">
        <f>"TE"</f>
        <v/>
      </c>
      <c r="C145">
        <f>'Tight Ends (TE)'!C6</f>
        <v/>
      </c>
      <c r="D145">
        <f>'Tight Ends (TE)'!E6</f>
        <v/>
      </c>
      <c r="E145" s="28">
        <f>'Tight Ends (TE)'!J6</f>
        <v/>
      </c>
      <c r="F145" s="28">
        <f>'Tight Ends (TE)'!K6</f>
        <v/>
      </c>
      <c r="G145" t="n">
        <v>0</v>
      </c>
    </row>
    <row r="146">
      <c r="A146">
        <f>'Tight Ends (TE)'!B8</f>
        <v/>
      </c>
      <c r="B146">
        <f>"TE"</f>
        <v/>
      </c>
      <c r="C146">
        <f>'Tight Ends (TE)'!C8</f>
        <v/>
      </c>
      <c r="D146">
        <f>'Tight Ends (TE)'!E8</f>
        <v/>
      </c>
      <c r="E146" s="28">
        <f>'Tight Ends (TE)'!J8</f>
        <v/>
      </c>
      <c r="F146" s="28">
        <f>'Tight Ends (TE)'!K8</f>
        <v/>
      </c>
      <c r="G146" t="n">
        <v>0</v>
      </c>
    </row>
    <row r="147">
      <c r="A147">
        <f>'Tight Ends (TE)'!B10</f>
        <v/>
      </c>
      <c r="B147">
        <f>"TE"</f>
        <v/>
      </c>
      <c r="C147">
        <f>'Tight Ends (TE)'!C10</f>
        <v/>
      </c>
      <c r="D147">
        <f>'Tight Ends (TE)'!E10</f>
        <v/>
      </c>
      <c r="E147" s="28">
        <f>'Tight Ends (TE)'!J10</f>
        <v/>
      </c>
      <c r="F147" s="28">
        <f>'Tight Ends (TE)'!K10</f>
        <v/>
      </c>
      <c r="G147" t="n">
        <v>0</v>
      </c>
    </row>
    <row r="148">
      <c r="A148">
        <f>'Tight Ends (TE)'!B11</f>
        <v/>
      </c>
      <c r="B148">
        <f>"TE"</f>
        <v/>
      </c>
      <c r="C148">
        <f>'Tight Ends (TE)'!C11</f>
        <v/>
      </c>
      <c r="D148">
        <f>'Tight Ends (TE)'!E11</f>
        <v/>
      </c>
      <c r="E148" s="28">
        <f>'Tight Ends (TE)'!J11</f>
        <v/>
      </c>
      <c r="F148" s="28">
        <f>'Tight Ends (TE)'!K11</f>
        <v/>
      </c>
      <c r="G148" t="n">
        <v>0</v>
      </c>
    </row>
    <row r="149">
      <c r="A149">
        <f>'Tight Ends (TE)'!B13</f>
        <v/>
      </c>
      <c r="B149">
        <f>"TE"</f>
        <v/>
      </c>
      <c r="C149">
        <f>'Tight Ends (TE)'!C13</f>
        <v/>
      </c>
      <c r="D149">
        <f>'Tight Ends (TE)'!E13</f>
        <v/>
      </c>
      <c r="E149" s="28">
        <f>'Tight Ends (TE)'!J13</f>
        <v/>
      </c>
      <c r="F149" s="28">
        <f>'Tight Ends (TE)'!K13</f>
        <v/>
      </c>
      <c r="G149" t="n">
        <v>0</v>
      </c>
    </row>
    <row r="150">
      <c r="A150">
        <f>'Tight Ends (TE)'!B14</f>
        <v/>
      </c>
      <c r="B150">
        <f>"TE"</f>
        <v/>
      </c>
      <c r="C150">
        <f>'Tight Ends (TE)'!C14</f>
        <v/>
      </c>
      <c r="D150">
        <f>'Tight Ends (TE)'!E14</f>
        <v/>
      </c>
      <c r="E150" s="28">
        <f>'Tight Ends (TE)'!J14</f>
        <v/>
      </c>
      <c r="F150" s="28">
        <f>'Tight Ends (TE)'!K14</f>
        <v/>
      </c>
      <c r="G150" t="n">
        <v>0</v>
      </c>
    </row>
    <row r="151">
      <c r="A151">
        <f>'Tight Ends (TE)'!B15</f>
        <v/>
      </c>
      <c r="B151">
        <f>"TE"</f>
        <v/>
      </c>
      <c r="C151">
        <f>'Tight Ends (TE)'!C15</f>
        <v/>
      </c>
      <c r="D151">
        <f>'Tight Ends (TE)'!E15</f>
        <v/>
      </c>
      <c r="E151" s="28">
        <f>'Tight Ends (TE)'!J15</f>
        <v/>
      </c>
      <c r="F151" s="28">
        <f>'Tight Ends (TE)'!K15</f>
        <v/>
      </c>
      <c r="G151" t="n">
        <v>0</v>
      </c>
    </row>
    <row r="152">
      <c r="A152">
        <f>'Tight Ends (TE)'!B16</f>
        <v/>
      </c>
      <c r="B152">
        <f>"TE"</f>
        <v/>
      </c>
      <c r="C152">
        <f>'Tight Ends (TE)'!C16</f>
        <v/>
      </c>
      <c r="D152">
        <f>'Tight Ends (TE)'!E16</f>
        <v/>
      </c>
      <c r="E152" s="28">
        <f>'Tight Ends (TE)'!J16</f>
        <v/>
      </c>
      <c r="F152" s="28">
        <f>'Tight Ends (TE)'!K16</f>
        <v/>
      </c>
      <c r="G152" t="n">
        <v>0</v>
      </c>
    </row>
    <row r="153">
      <c r="A153">
        <f>'Tight Ends (TE)'!B17</f>
        <v/>
      </c>
      <c r="B153">
        <f>"TE"</f>
        <v/>
      </c>
      <c r="C153">
        <f>'Tight Ends (TE)'!C17</f>
        <v/>
      </c>
      <c r="D153">
        <f>'Tight Ends (TE)'!E17</f>
        <v/>
      </c>
      <c r="E153" s="28">
        <f>'Tight Ends (TE)'!J17</f>
        <v/>
      </c>
      <c r="F153" s="28">
        <f>'Tight Ends (TE)'!K17</f>
        <v/>
      </c>
      <c r="G153" t="n">
        <v>0</v>
      </c>
    </row>
    <row r="154">
      <c r="A154">
        <f>'Tight Ends (TE)'!B18</f>
        <v/>
      </c>
      <c r="B154">
        <f>"TE"</f>
        <v/>
      </c>
      <c r="C154">
        <f>'Tight Ends (TE)'!C18</f>
        <v/>
      </c>
      <c r="D154">
        <f>'Tight Ends (TE)'!E18</f>
        <v/>
      </c>
      <c r="E154" s="28">
        <f>'Tight Ends (TE)'!J18</f>
        <v/>
      </c>
      <c r="F154" s="28">
        <f>'Tight Ends (TE)'!K18</f>
        <v/>
      </c>
      <c r="G154" t="n">
        <v>0</v>
      </c>
    </row>
    <row r="155">
      <c r="A155">
        <f>'Tight Ends (TE)'!B19</f>
        <v/>
      </c>
      <c r="B155">
        <f>"TE"</f>
        <v/>
      </c>
      <c r="C155">
        <f>'Tight Ends (TE)'!C19</f>
        <v/>
      </c>
      <c r="D155">
        <f>'Tight Ends (TE)'!E19</f>
        <v/>
      </c>
      <c r="E155" s="28">
        <f>'Tight Ends (TE)'!J19</f>
        <v/>
      </c>
      <c r="F155" s="28">
        <f>'Tight Ends (TE)'!K19</f>
        <v/>
      </c>
      <c r="G155" t="n">
        <v>0</v>
      </c>
    </row>
    <row r="156">
      <c r="A156">
        <f>'Tight Ends (TE)'!B20</f>
        <v/>
      </c>
      <c r="B156">
        <f>"TE"</f>
        <v/>
      </c>
      <c r="C156">
        <f>'Tight Ends (TE)'!C20</f>
        <v/>
      </c>
      <c r="D156">
        <f>'Tight Ends (TE)'!E20</f>
        <v/>
      </c>
      <c r="E156" s="28">
        <f>'Tight Ends (TE)'!J20</f>
        <v/>
      </c>
      <c r="F156" s="28">
        <f>'Tight Ends (TE)'!K20</f>
        <v/>
      </c>
      <c r="G156" t="n">
        <v>0</v>
      </c>
    </row>
    <row r="157">
      <c r="A157">
        <f>'Tight Ends (TE)'!B21</f>
        <v/>
      </c>
      <c r="B157">
        <f>"TE"</f>
        <v/>
      </c>
      <c r="C157">
        <f>'Tight Ends (TE)'!C21</f>
        <v/>
      </c>
      <c r="D157">
        <f>'Tight Ends (TE)'!E21</f>
        <v/>
      </c>
      <c r="E157" s="28">
        <f>'Tight Ends (TE)'!J21</f>
        <v/>
      </c>
      <c r="F157" s="28">
        <f>'Tight Ends (TE)'!K21</f>
        <v/>
      </c>
      <c r="G157" t="n">
        <v>0</v>
      </c>
    </row>
    <row r="158">
      <c r="A158">
        <f>'Tight Ends (TE)'!B22</f>
        <v/>
      </c>
      <c r="B158">
        <f>"TE"</f>
        <v/>
      </c>
      <c r="C158">
        <f>'Tight Ends (TE)'!C22</f>
        <v/>
      </c>
      <c r="D158">
        <f>'Tight Ends (TE)'!E22</f>
        <v/>
      </c>
      <c r="E158" s="28">
        <f>'Tight Ends (TE)'!J22</f>
        <v/>
      </c>
      <c r="F158" s="28">
        <f>'Tight Ends (TE)'!K22</f>
        <v/>
      </c>
      <c r="G158" t="n">
        <v>0</v>
      </c>
    </row>
    <row r="159">
      <c r="A159">
        <f>'Tight Ends (TE)'!B23</f>
        <v/>
      </c>
      <c r="B159">
        <f>"TE"</f>
        <v/>
      </c>
      <c r="C159">
        <f>'Tight Ends (TE)'!C23</f>
        <v/>
      </c>
      <c r="D159">
        <f>'Tight Ends (TE)'!E23</f>
        <v/>
      </c>
      <c r="E159" s="28">
        <f>'Tight Ends (TE)'!J23</f>
        <v/>
      </c>
      <c r="F159" s="28">
        <f>'Tight Ends (TE)'!K23</f>
        <v/>
      </c>
      <c r="G159" t="n">
        <v>0</v>
      </c>
    </row>
    <row r="160">
      <c r="A160">
        <f>'Tight Ends (TE)'!B24</f>
        <v/>
      </c>
      <c r="B160">
        <f>"TE"</f>
        <v/>
      </c>
      <c r="C160">
        <f>'Tight Ends (TE)'!C24</f>
        <v/>
      </c>
      <c r="D160">
        <f>'Tight Ends (TE)'!E24</f>
        <v/>
      </c>
      <c r="E160" s="28">
        <f>'Tight Ends (TE)'!J24</f>
        <v/>
      </c>
      <c r="F160" s="28">
        <f>'Tight Ends (TE)'!K24</f>
        <v/>
      </c>
      <c r="G160" t="n">
        <v>0</v>
      </c>
    </row>
    <row r="161">
      <c r="A161">
        <f>'Tight Ends (TE)'!B25</f>
        <v/>
      </c>
      <c r="B161">
        <f>"TE"</f>
        <v/>
      </c>
      <c r="C161">
        <f>'Tight Ends (TE)'!C25</f>
        <v/>
      </c>
      <c r="D161">
        <f>'Tight Ends (TE)'!E25</f>
        <v/>
      </c>
      <c r="E161" s="28">
        <f>'Tight Ends (TE)'!J25</f>
        <v/>
      </c>
      <c r="F161" s="28">
        <f>'Tight Ends (TE)'!K25</f>
        <v/>
      </c>
      <c r="G161" t="n">
        <v>0</v>
      </c>
    </row>
    <row r="162">
      <c r="A162">
        <f>'Tight Ends (TE)'!B26</f>
        <v/>
      </c>
      <c r="B162">
        <f>"TE"</f>
        <v/>
      </c>
      <c r="C162">
        <f>'Tight Ends (TE)'!C26</f>
        <v/>
      </c>
      <c r="D162">
        <f>'Tight Ends (TE)'!E26</f>
        <v/>
      </c>
      <c r="E162" s="28">
        <f>'Tight Ends (TE)'!J26</f>
        <v/>
      </c>
      <c r="F162" s="28">
        <f>'Tight Ends (TE)'!K26</f>
        <v/>
      </c>
      <c r="G162" t="n">
        <v>0</v>
      </c>
    </row>
    <row r="163">
      <c r="A163">
        <f>'Tight Ends (TE)'!B27</f>
        <v/>
      </c>
      <c r="B163">
        <f>"TE"</f>
        <v/>
      </c>
      <c r="C163">
        <f>'Tight Ends (TE)'!C27</f>
        <v/>
      </c>
      <c r="D163">
        <f>'Tight Ends (TE)'!E27</f>
        <v/>
      </c>
      <c r="E163" s="28">
        <f>'Tight Ends (TE)'!J27</f>
        <v/>
      </c>
      <c r="F163" s="28">
        <f>'Tight Ends (TE)'!K27</f>
        <v/>
      </c>
      <c r="G163" t="n">
        <v>0</v>
      </c>
    </row>
    <row r="164">
      <c r="A164">
        <f>'Tight Ends (TE)'!B28</f>
        <v/>
      </c>
      <c r="B164">
        <f>"TE"</f>
        <v/>
      </c>
      <c r="C164">
        <f>'Tight Ends (TE)'!C28</f>
        <v/>
      </c>
      <c r="D164">
        <f>'Tight Ends (TE)'!E28</f>
        <v/>
      </c>
      <c r="E164" s="28">
        <f>'Tight Ends (TE)'!J28</f>
        <v/>
      </c>
      <c r="F164" s="28">
        <f>'Tight Ends (TE)'!K28</f>
        <v/>
      </c>
      <c r="G164" t="n">
        <v>0</v>
      </c>
    </row>
    <row r="165">
      <c r="A165">
        <f>'Tight Ends (TE)'!B29</f>
        <v/>
      </c>
      <c r="B165">
        <f>"TE"</f>
        <v/>
      </c>
      <c r="C165">
        <f>'Tight Ends (TE)'!C29</f>
        <v/>
      </c>
      <c r="D165">
        <f>'Tight Ends (TE)'!E29</f>
        <v/>
      </c>
      <c r="E165" s="28">
        <f>'Tight Ends (TE)'!J29</f>
        <v/>
      </c>
      <c r="F165" s="28">
        <f>'Tight Ends (TE)'!K29</f>
        <v/>
      </c>
      <c r="G165" t="n">
        <v>0</v>
      </c>
    </row>
    <row r="166">
      <c r="A166">
        <f>'Tight Ends (TE)'!B30</f>
        <v/>
      </c>
      <c r="B166">
        <f>"TE"</f>
        <v/>
      </c>
      <c r="C166">
        <f>'Tight Ends (TE)'!C30</f>
        <v/>
      </c>
      <c r="D166">
        <f>'Tight Ends (TE)'!E30</f>
        <v/>
      </c>
      <c r="E166" s="28">
        <f>'Tight Ends (TE)'!J30</f>
        <v/>
      </c>
      <c r="F166" s="28">
        <f>'Tight Ends (TE)'!K30</f>
        <v/>
      </c>
      <c r="G166" t="n">
        <v>0</v>
      </c>
    </row>
    <row r="167">
      <c r="A167">
        <f>'Tight Ends (TE)'!B31</f>
        <v/>
      </c>
      <c r="B167">
        <f>"TE"</f>
        <v/>
      </c>
      <c r="C167">
        <f>'Tight Ends (TE)'!C31</f>
        <v/>
      </c>
      <c r="D167">
        <f>'Tight Ends (TE)'!E31</f>
        <v/>
      </c>
      <c r="E167" s="28">
        <f>'Tight Ends (TE)'!J31</f>
        <v/>
      </c>
      <c r="F167" s="28">
        <f>'Tight Ends (TE)'!K31</f>
        <v/>
      </c>
      <c r="G167" t="n">
        <v>0</v>
      </c>
    </row>
    <row r="168">
      <c r="A168">
        <f>'Tight Ends (TE)'!B32</f>
        <v/>
      </c>
      <c r="B168">
        <f>"TE"</f>
        <v/>
      </c>
      <c r="C168">
        <f>'Tight Ends (TE)'!C32</f>
        <v/>
      </c>
      <c r="D168">
        <f>'Tight Ends (TE)'!E32</f>
        <v/>
      </c>
      <c r="E168" s="28">
        <f>'Tight Ends (TE)'!J32</f>
        <v/>
      </c>
      <c r="F168" s="28">
        <f>'Tight Ends (TE)'!K32</f>
        <v/>
      </c>
      <c r="G168" t="n">
        <v>0</v>
      </c>
    </row>
    <row r="169">
      <c r="A169">
        <f>'Tight Ends (TE)'!B33</f>
        <v/>
      </c>
      <c r="B169">
        <f>"TE"</f>
        <v/>
      </c>
      <c r="C169">
        <f>'Tight Ends (TE)'!C33</f>
        <v/>
      </c>
      <c r="D169">
        <f>'Tight Ends (TE)'!E33</f>
        <v/>
      </c>
      <c r="E169" s="28">
        <f>'Tight Ends (TE)'!J33</f>
        <v/>
      </c>
      <c r="F169" s="28">
        <f>'Tight Ends (TE)'!K33</f>
        <v/>
      </c>
      <c r="G169" t="n">
        <v>0</v>
      </c>
    </row>
    <row r="170">
      <c r="A170">
        <f>'Tight Ends (TE)'!B35</f>
        <v/>
      </c>
      <c r="B170">
        <f>"TE"</f>
        <v/>
      </c>
      <c r="C170">
        <f>'Tight Ends (TE)'!C35</f>
        <v/>
      </c>
      <c r="D170">
        <f>'Tight Ends (TE)'!E35</f>
        <v/>
      </c>
      <c r="E170" s="28">
        <f>'Tight Ends (TE)'!J35</f>
        <v/>
      </c>
      <c r="F170" s="28">
        <f>'Tight Ends (TE)'!K35</f>
        <v/>
      </c>
      <c r="G170" t="n">
        <v>0</v>
      </c>
    </row>
    <row r="171">
      <c r="A171">
        <f>'Tight Ends (TE)'!B36</f>
        <v/>
      </c>
      <c r="B171">
        <f>"TE"</f>
        <v/>
      </c>
      <c r="C171">
        <f>'Tight Ends (TE)'!C36</f>
        <v/>
      </c>
      <c r="D171">
        <f>'Tight Ends (TE)'!E36</f>
        <v/>
      </c>
      <c r="E171" s="28">
        <f>'Tight Ends (TE)'!J36</f>
        <v/>
      </c>
      <c r="F171" s="28">
        <f>'Tight Ends (TE)'!K36</f>
        <v/>
      </c>
      <c r="G171" t="n">
        <v>0</v>
      </c>
    </row>
    <row r="172">
      <c r="A172">
        <f>'Defenses (D_ST)'!B6</f>
        <v/>
      </c>
      <c r="B172">
        <f>"DEF"</f>
        <v/>
      </c>
      <c r="C172">
        <f>'Defenses (D_ST)'!C6</f>
        <v/>
      </c>
      <c r="D172">
        <f>'Defenses (D_ST)'!E6</f>
        <v/>
      </c>
      <c r="E172" s="28">
        <f>'Defenses (D_ST)'!G6</f>
        <v/>
      </c>
      <c r="F172" s="28">
        <f>'Defenses (D_ST)'!H6</f>
        <v/>
      </c>
      <c r="G172" t="n">
        <v>0</v>
      </c>
    </row>
    <row r="173">
      <c r="A173">
        <f>'Defenses (D_ST)'!B7</f>
        <v/>
      </c>
      <c r="B173">
        <f>"DEF"</f>
        <v/>
      </c>
      <c r="C173">
        <f>'Defenses (D_ST)'!C7</f>
        <v/>
      </c>
      <c r="D173">
        <f>'Defenses (D_ST)'!E7</f>
        <v/>
      </c>
      <c r="E173" s="28">
        <f>'Defenses (D_ST)'!G7</f>
        <v/>
      </c>
      <c r="F173" s="28">
        <f>'Defenses (D_ST)'!H7</f>
        <v/>
      </c>
      <c r="G173" t="n">
        <v>0</v>
      </c>
    </row>
    <row r="174">
      <c r="A174">
        <f>'Defenses (D_ST)'!B8</f>
        <v/>
      </c>
      <c r="B174">
        <f>"DEF"</f>
        <v/>
      </c>
      <c r="C174">
        <f>'Defenses (D_ST)'!C8</f>
        <v/>
      </c>
      <c r="D174">
        <f>'Defenses (D_ST)'!E8</f>
        <v/>
      </c>
      <c r="E174" s="28">
        <f>'Defenses (D_ST)'!G8</f>
        <v/>
      </c>
      <c r="F174" s="28">
        <f>'Defenses (D_ST)'!H8</f>
        <v/>
      </c>
      <c r="G174" t="n">
        <v>0</v>
      </c>
    </row>
    <row r="175">
      <c r="A175">
        <f>'Defenses (D_ST)'!B9</f>
        <v/>
      </c>
      <c r="B175">
        <f>"DEF"</f>
        <v/>
      </c>
      <c r="C175">
        <f>'Defenses (D_ST)'!C9</f>
        <v/>
      </c>
      <c r="D175">
        <f>'Defenses (D_ST)'!E9</f>
        <v/>
      </c>
      <c r="E175" s="28">
        <f>'Defenses (D_ST)'!G9</f>
        <v/>
      </c>
      <c r="F175" s="28">
        <f>'Defenses (D_ST)'!H9</f>
        <v/>
      </c>
      <c r="G175" t="n">
        <v>0</v>
      </c>
    </row>
    <row r="176">
      <c r="A176">
        <f>'Defenses (D_ST)'!B10</f>
        <v/>
      </c>
      <c r="B176">
        <f>"DEF"</f>
        <v/>
      </c>
      <c r="C176">
        <f>'Defenses (D_ST)'!C10</f>
        <v/>
      </c>
      <c r="D176">
        <f>'Defenses (D_ST)'!E10</f>
        <v/>
      </c>
      <c r="E176" s="28">
        <f>'Defenses (D_ST)'!G10</f>
        <v/>
      </c>
      <c r="F176" s="28">
        <f>'Defenses (D_ST)'!H10</f>
        <v/>
      </c>
      <c r="G176" t="n">
        <v>0</v>
      </c>
    </row>
    <row r="177">
      <c r="A177">
        <f>'Defenses (D_ST)'!B11</f>
        <v/>
      </c>
      <c r="B177">
        <f>"DEF"</f>
        <v/>
      </c>
      <c r="C177">
        <f>'Defenses (D_ST)'!C11</f>
        <v/>
      </c>
      <c r="D177">
        <f>'Defenses (D_ST)'!E11</f>
        <v/>
      </c>
      <c r="E177" s="28">
        <f>'Defenses (D_ST)'!G11</f>
        <v/>
      </c>
      <c r="F177" s="28">
        <f>'Defenses (D_ST)'!H11</f>
        <v/>
      </c>
      <c r="G177" t="n">
        <v>0</v>
      </c>
    </row>
    <row r="178">
      <c r="A178">
        <f>'Defenses (D_ST)'!B13</f>
        <v/>
      </c>
      <c r="B178">
        <f>"DEF"</f>
        <v/>
      </c>
      <c r="C178">
        <f>'Defenses (D_ST)'!C13</f>
        <v/>
      </c>
      <c r="D178">
        <f>'Defenses (D_ST)'!E13</f>
        <v/>
      </c>
      <c r="E178" s="28">
        <f>'Defenses (D_ST)'!G13</f>
        <v/>
      </c>
      <c r="F178" s="28">
        <f>'Defenses (D_ST)'!H13</f>
        <v/>
      </c>
      <c r="G178" t="n">
        <v>0</v>
      </c>
    </row>
    <row r="179">
      <c r="A179">
        <f>'Defenses (D_ST)'!B14</f>
        <v/>
      </c>
      <c r="B179">
        <f>"DEF"</f>
        <v/>
      </c>
      <c r="C179">
        <f>'Defenses (D_ST)'!C14</f>
        <v/>
      </c>
      <c r="D179">
        <f>'Defenses (D_ST)'!E14</f>
        <v/>
      </c>
      <c r="E179" s="28">
        <f>'Defenses (D_ST)'!G14</f>
        <v/>
      </c>
      <c r="F179" s="28">
        <f>'Defenses (D_ST)'!H14</f>
        <v/>
      </c>
      <c r="G179" t="n">
        <v>0</v>
      </c>
    </row>
    <row r="180">
      <c r="A180">
        <f>'Defenses (D_ST)'!B15</f>
        <v/>
      </c>
      <c r="B180">
        <f>"DEF"</f>
        <v/>
      </c>
      <c r="C180">
        <f>'Defenses (D_ST)'!C15</f>
        <v/>
      </c>
      <c r="D180">
        <f>'Defenses (D_ST)'!E15</f>
        <v/>
      </c>
      <c r="E180" s="28">
        <f>'Defenses (D_ST)'!G15</f>
        <v/>
      </c>
      <c r="F180" s="28">
        <f>'Defenses (D_ST)'!H15</f>
        <v/>
      </c>
      <c r="G180" t="n">
        <v>0</v>
      </c>
    </row>
    <row r="181">
      <c r="A181">
        <f>'Defenses (D_ST)'!B16</f>
        <v/>
      </c>
      <c r="B181">
        <f>"DEF"</f>
        <v/>
      </c>
      <c r="C181">
        <f>'Defenses (D_ST)'!C16</f>
        <v/>
      </c>
      <c r="D181">
        <f>'Defenses (D_ST)'!E16</f>
        <v/>
      </c>
      <c r="E181" s="28">
        <f>'Defenses (D_ST)'!G16</f>
        <v/>
      </c>
      <c r="F181" s="28">
        <f>'Defenses (D_ST)'!H16</f>
        <v/>
      </c>
      <c r="G181" t="n">
        <v>0</v>
      </c>
    </row>
    <row r="182">
      <c r="A182">
        <f>'Defenses (D_ST)'!B18</f>
        <v/>
      </c>
      <c r="B182">
        <f>"DEF"</f>
        <v/>
      </c>
      <c r="C182">
        <f>'Defenses (D_ST)'!C18</f>
        <v/>
      </c>
      <c r="D182">
        <f>'Defenses (D_ST)'!E18</f>
        <v/>
      </c>
      <c r="E182" s="28">
        <f>'Defenses (D_ST)'!G18</f>
        <v/>
      </c>
      <c r="F182" s="28">
        <f>'Defenses (D_ST)'!H18</f>
        <v/>
      </c>
      <c r="G182" t="n">
        <v>0</v>
      </c>
    </row>
    <row r="183">
      <c r="A183">
        <f>'Defenses (D_ST)'!B19</f>
        <v/>
      </c>
      <c r="B183">
        <f>"DEF"</f>
        <v/>
      </c>
      <c r="C183">
        <f>'Defenses (D_ST)'!C19</f>
        <v/>
      </c>
      <c r="D183">
        <f>'Defenses (D_ST)'!E19</f>
        <v/>
      </c>
      <c r="E183" s="28">
        <f>'Defenses (D_ST)'!G19</f>
        <v/>
      </c>
      <c r="F183" s="28">
        <f>'Defenses (D_ST)'!H19</f>
        <v/>
      </c>
      <c r="G183" t="n">
        <v>0</v>
      </c>
    </row>
    <row r="184">
      <c r="A184">
        <f>'Defenses (D_ST)'!B20</f>
        <v/>
      </c>
      <c r="B184">
        <f>"DEF"</f>
        <v/>
      </c>
      <c r="C184">
        <f>'Defenses (D_ST)'!C20</f>
        <v/>
      </c>
      <c r="D184">
        <f>'Defenses (D_ST)'!E20</f>
        <v/>
      </c>
      <c r="E184" s="28">
        <f>'Defenses (D_ST)'!G20</f>
        <v/>
      </c>
      <c r="F184" s="28">
        <f>'Defenses (D_ST)'!H20</f>
        <v/>
      </c>
      <c r="G184" t="n">
        <v>0</v>
      </c>
    </row>
    <row r="185">
      <c r="A185">
        <f>'Defenses (D_ST)'!B21</f>
        <v/>
      </c>
      <c r="B185">
        <f>"DEF"</f>
        <v/>
      </c>
      <c r="C185">
        <f>'Defenses (D_ST)'!C21</f>
        <v/>
      </c>
      <c r="D185">
        <f>'Defenses (D_ST)'!E21</f>
        <v/>
      </c>
      <c r="E185" s="28">
        <f>'Defenses (D_ST)'!G21</f>
        <v/>
      </c>
      <c r="F185" s="28">
        <f>'Defenses (D_ST)'!H21</f>
        <v/>
      </c>
      <c r="G185" t="n">
        <v>0</v>
      </c>
    </row>
    <row r="186">
      <c r="A186">
        <f>'Defenses (D_ST)'!B22</f>
        <v/>
      </c>
      <c r="B186">
        <f>"DEF"</f>
        <v/>
      </c>
      <c r="C186">
        <f>'Defenses (D_ST)'!C22</f>
        <v/>
      </c>
      <c r="D186">
        <f>'Defenses (D_ST)'!E22</f>
        <v/>
      </c>
      <c r="E186" s="28">
        <f>'Defenses (D_ST)'!G22</f>
        <v/>
      </c>
      <c r="F186" s="28">
        <f>'Defenses (D_ST)'!H22</f>
        <v/>
      </c>
      <c r="G186" t="n">
        <v>0</v>
      </c>
    </row>
    <row r="187">
      <c r="A187">
        <f>'Defenses (D_ST)'!B23</f>
        <v/>
      </c>
      <c r="B187">
        <f>"DEF"</f>
        <v/>
      </c>
      <c r="C187">
        <f>'Defenses (D_ST)'!C23</f>
        <v/>
      </c>
      <c r="D187">
        <f>'Defenses (D_ST)'!E23</f>
        <v/>
      </c>
      <c r="E187" s="28">
        <f>'Defenses (D_ST)'!G23</f>
        <v/>
      </c>
      <c r="F187" s="28">
        <f>'Defenses (D_ST)'!H23</f>
        <v/>
      </c>
      <c r="G187" t="n">
        <v>0</v>
      </c>
    </row>
    <row r="188">
      <c r="A188">
        <f>'Defenses (D_ST)'!B24</f>
        <v/>
      </c>
      <c r="B188">
        <f>"DEF"</f>
        <v/>
      </c>
      <c r="C188">
        <f>'Defenses (D_ST)'!C24</f>
        <v/>
      </c>
      <c r="D188">
        <f>'Defenses (D_ST)'!E24</f>
        <v/>
      </c>
      <c r="E188" s="28">
        <f>'Defenses (D_ST)'!G24</f>
        <v/>
      </c>
      <c r="F188" s="28">
        <f>'Defenses (D_ST)'!H24</f>
        <v/>
      </c>
      <c r="G188" t="n">
        <v>0</v>
      </c>
    </row>
    <row r="189">
      <c r="A189">
        <f>'Defenses (D_ST)'!B25</f>
        <v/>
      </c>
      <c r="B189">
        <f>"DEF"</f>
        <v/>
      </c>
      <c r="C189">
        <f>'Defenses (D_ST)'!C25</f>
        <v/>
      </c>
      <c r="D189">
        <f>'Defenses (D_ST)'!E25</f>
        <v/>
      </c>
      <c r="E189" s="28">
        <f>'Defenses (D_ST)'!G25</f>
        <v/>
      </c>
      <c r="F189" s="28">
        <f>'Defenses (D_ST)'!H25</f>
        <v/>
      </c>
      <c r="G189" t="n">
        <v>0</v>
      </c>
    </row>
    <row r="190">
      <c r="A190">
        <f>'Defenses (D_ST)'!B26</f>
        <v/>
      </c>
      <c r="B190">
        <f>"DEF"</f>
        <v/>
      </c>
      <c r="C190">
        <f>'Defenses (D_ST)'!C26</f>
        <v/>
      </c>
      <c r="D190">
        <f>'Defenses (D_ST)'!E26</f>
        <v/>
      </c>
      <c r="E190" s="28">
        <f>'Defenses (D_ST)'!G26</f>
        <v/>
      </c>
      <c r="F190" s="28">
        <f>'Defenses (D_ST)'!H26</f>
        <v/>
      </c>
      <c r="G190" t="n">
        <v>0</v>
      </c>
    </row>
    <row r="191">
      <c r="A191">
        <f>'Defenses (D_ST)'!B27</f>
        <v/>
      </c>
      <c r="B191">
        <f>"DEF"</f>
        <v/>
      </c>
      <c r="C191">
        <f>'Defenses (D_ST)'!C27</f>
        <v/>
      </c>
      <c r="D191">
        <f>'Defenses (D_ST)'!E27</f>
        <v/>
      </c>
      <c r="E191" s="28">
        <f>'Defenses (D_ST)'!G27</f>
        <v/>
      </c>
      <c r="F191" s="28">
        <f>'Defenses (D_ST)'!H27</f>
        <v/>
      </c>
      <c r="G191" t="n">
        <v>0</v>
      </c>
    </row>
    <row r="192">
      <c r="G192" t="n">
        <v>0</v>
      </c>
    </row>
    <row r="193">
      <c r="G193" t="n">
        <v>0</v>
      </c>
    </row>
    <row r="194">
      <c r="G194" t="n">
        <v>0</v>
      </c>
    </row>
    <row r="195">
      <c r="G195" t="n">
        <v>0</v>
      </c>
    </row>
    <row r="196">
      <c r="G196" t="n">
        <v>0</v>
      </c>
    </row>
    <row r="197">
      <c r="G197" t="n">
        <v>0</v>
      </c>
    </row>
    <row r="198">
      <c r="G198" t="n">
        <v>0</v>
      </c>
    </row>
    <row r="199">
      <c r="G199" t="n">
        <v>0</v>
      </c>
    </row>
    <row r="200">
      <c r="G200" t="n">
        <v>0</v>
      </c>
    </row>
    <row r="201">
      <c r="G201" t="n">
        <v>0</v>
      </c>
    </row>
    <row r="202">
      <c r="G202" t="n">
        <v>0</v>
      </c>
    </row>
    <row r="203">
      <c r="G203" t="n">
        <v>0</v>
      </c>
    </row>
    <row r="204">
      <c r="G204" t="n">
        <v>0</v>
      </c>
    </row>
    <row r="205">
      <c r="G205" t="n">
        <v>0</v>
      </c>
    </row>
    <row r="206">
      <c r="G206" t="n">
        <v>0</v>
      </c>
    </row>
    <row r="207">
      <c r="G207" t="n">
        <v>0</v>
      </c>
    </row>
    <row r="208">
      <c r="G208" t="n">
        <v>0</v>
      </c>
    </row>
    <row r="209">
      <c r="G209" t="n">
        <v>0</v>
      </c>
    </row>
    <row r="210">
      <c r="G210" t="n">
        <v>0</v>
      </c>
    </row>
    <row r="211">
      <c r="G211" t="n">
        <v>0</v>
      </c>
    </row>
    <row r="212">
      <c r="G212" t="n">
        <v>0</v>
      </c>
    </row>
    <row r="213">
      <c r="G213" t="n">
        <v>0</v>
      </c>
    </row>
    <row r="214">
      <c r="G214" t="n">
        <v>0</v>
      </c>
    </row>
    <row r="215">
      <c r="G215" t="n">
        <v>0</v>
      </c>
    </row>
    <row r="216">
      <c r="G216" t="n">
        <v>0</v>
      </c>
    </row>
    <row r="217">
      <c r="G217" t="n">
        <v>0</v>
      </c>
    </row>
    <row r="218">
      <c r="G218" t="n">
        <v>0</v>
      </c>
    </row>
    <row r="219">
      <c r="G219" t="n">
        <v>0</v>
      </c>
    </row>
    <row r="220">
      <c r="G220" t="n">
        <v>0</v>
      </c>
    </row>
    <row r="221">
      <c r="G221" t="n">
        <v>0</v>
      </c>
    </row>
    <row r="222">
      <c r="G222" t="n">
        <v>0</v>
      </c>
    </row>
    <row r="223">
      <c r="G223" t="n">
        <v>0</v>
      </c>
    </row>
    <row r="224">
      <c r="G224" t="n">
        <v>0</v>
      </c>
    </row>
    <row r="225">
      <c r="G225" t="n">
        <v>0</v>
      </c>
    </row>
    <row r="226">
      <c r="G226" t="n">
        <v>0</v>
      </c>
    </row>
    <row r="227">
      <c r="G227" t="n">
        <v>0</v>
      </c>
    </row>
    <row r="228">
      <c r="G228" t="n">
        <v>0</v>
      </c>
    </row>
    <row r="229">
      <c r="G229" t="n">
        <v>0</v>
      </c>
    </row>
    <row r="230">
      <c r="G230" t="n">
        <v>0</v>
      </c>
    </row>
    <row r="231">
      <c r="G231" t="n">
        <v>0</v>
      </c>
    </row>
    <row r="232">
      <c r="G232" t="n">
        <v>0</v>
      </c>
    </row>
    <row r="233">
      <c r="G233" t="n">
        <v>0</v>
      </c>
    </row>
    <row r="234">
      <c r="G234" t="n">
        <v>0</v>
      </c>
    </row>
    <row r="235">
      <c r="G235" t="n">
        <v>0</v>
      </c>
    </row>
    <row r="236">
      <c r="G236" t="n">
        <v>0</v>
      </c>
    </row>
    <row r="237">
      <c r="G237" t="n">
        <v>0</v>
      </c>
    </row>
    <row r="238">
      <c r="G238" t="n">
        <v>0</v>
      </c>
    </row>
    <row r="239">
      <c r="G239" t="n">
        <v>0</v>
      </c>
    </row>
    <row r="240">
      <c r="G240" t="n">
        <v>0</v>
      </c>
    </row>
    <row r="241">
      <c r="G241" t="n">
        <v>0</v>
      </c>
    </row>
    <row r="242">
      <c r="G242" t="n">
        <v>0</v>
      </c>
    </row>
    <row r="243">
      <c r="G243" t="n">
        <v>0</v>
      </c>
    </row>
    <row r="244">
      <c r="G244" t="n">
        <v>0</v>
      </c>
    </row>
    <row r="245">
      <c r="G245" t="n">
        <v>0</v>
      </c>
    </row>
    <row r="246">
      <c r="G246" t="n">
        <v>0</v>
      </c>
    </row>
    <row r="247">
      <c r="G247" t="n">
        <v>0</v>
      </c>
    </row>
    <row r="248">
      <c r="G248" t="n">
        <v>0</v>
      </c>
    </row>
    <row r="249">
      <c r="G249" t="n">
        <v>0</v>
      </c>
    </row>
    <row r="250">
      <c r="G250" t="n">
        <v>0</v>
      </c>
    </row>
    <row r="251">
      <c r="G251" t="n">
        <v>0</v>
      </c>
    </row>
    <row r="252">
      <c r="G252" t="n">
        <v>0</v>
      </c>
    </row>
    <row r="253">
      <c r="G253" t="n">
        <v>0</v>
      </c>
    </row>
    <row r="254">
      <c r="G254" t="n">
        <v>0</v>
      </c>
    </row>
    <row r="255">
      <c r="G255" t="n">
        <v>0</v>
      </c>
    </row>
    <row r="256">
      <c r="G256" t="n">
        <v>0</v>
      </c>
    </row>
    <row r="257">
      <c r="G257" t="n">
        <v>0</v>
      </c>
    </row>
    <row r="258">
      <c r="G258" t="n">
        <v>0</v>
      </c>
    </row>
    <row r="259">
      <c r="G259" t="n">
        <v>0</v>
      </c>
    </row>
    <row r="260">
      <c r="G260" t="n">
        <v>0</v>
      </c>
    </row>
    <row r="261">
      <c r="G261" t="n">
        <v>0</v>
      </c>
    </row>
    <row r="262">
      <c r="G262" t="n">
        <v>0</v>
      </c>
    </row>
    <row r="263">
      <c r="G263" t="n">
        <v>0</v>
      </c>
    </row>
    <row r="264">
      <c r="G264" t="n">
        <v>0</v>
      </c>
    </row>
    <row r="265">
      <c r="G265" t="n">
        <v>0</v>
      </c>
    </row>
    <row r="266">
      <c r="G266" t="n">
        <v>0</v>
      </c>
    </row>
    <row r="267">
      <c r="G267" t="n">
        <v>0</v>
      </c>
    </row>
    <row r="268">
      <c r="G268" t="n">
        <v>0</v>
      </c>
    </row>
    <row r="269">
      <c r="G269" t="n">
        <v>0</v>
      </c>
    </row>
    <row r="270">
      <c r="G270" t="n">
        <v>0</v>
      </c>
    </row>
    <row r="271">
      <c r="G271" t="n">
        <v>0</v>
      </c>
    </row>
    <row r="272">
      <c r="G272" t="n">
        <v>0</v>
      </c>
    </row>
    <row r="273">
      <c r="G273" t="n">
        <v>0</v>
      </c>
    </row>
    <row r="274">
      <c r="G274" t="n">
        <v>0</v>
      </c>
    </row>
    <row r="275">
      <c r="G275" t="n">
        <v>0</v>
      </c>
    </row>
    <row r="276">
      <c r="G276" t="n">
        <v>0</v>
      </c>
    </row>
    <row r="277">
      <c r="G277" t="n">
        <v>0</v>
      </c>
    </row>
    <row r="278">
      <c r="G278" t="n">
        <v>0</v>
      </c>
    </row>
    <row r="279">
      <c r="G279" t="n">
        <v>0</v>
      </c>
    </row>
    <row r="280">
      <c r="G280" t="n">
        <v>0</v>
      </c>
    </row>
    <row r="281">
      <c r="G281" t="n">
        <v>0</v>
      </c>
    </row>
    <row r="282">
      <c r="G282" t="n">
        <v>0</v>
      </c>
    </row>
    <row r="283">
      <c r="G283" t="n">
        <v>0</v>
      </c>
    </row>
    <row r="284">
      <c r="G284" t="n">
        <v>0</v>
      </c>
    </row>
    <row r="285">
      <c r="G285" t="n">
        <v>0</v>
      </c>
    </row>
    <row r="286">
      <c r="G286" t="n">
        <v>0</v>
      </c>
    </row>
    <row r="287">
      <c r="G287" t="n">
        <v>0</v>
      </c>
    </row>
    <row r="288">
      <c r="G288" t="n">
        <v>0</v>
      </c>
    </row>
    <row r="289">
      <c r="G289" t="n">
        <v>0</v>
      </c>
    </row>
    <row r="290">
      <c r="G290" t="n">
        <v>0</v>
      </c>
    </row>
    <row r="291">
      <c r="G291" t="n">
        <v>0</v>
      </c>
    </row>
    <row r="292">
      <c r="G292" t="n">
        <v>0</v>
      </c>
    </row>
    <row r="293">
      <c r="G293" t="n">
        <v>0</v>
      </c>
    </row>
    <row r="294">
      <c r="G294" t="n">
        <v>0</v>
      </c>
    </row>
    <row r="295">
      <c r="G295" t="n">
        <v>0</v>
      </c>
    </row>
  </sheetData>
  <autoFilter ref="A1:H1">
    <sortState ref="A2:H295">
      <sortCondition descending="1"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4.4"/>
  <cols>
    <col width="149" customWidth="1" style="29" min="1" max="1"/>
    <col width="12" customWidth="1" style="29" min="2" max="2"/>
    <col width="17" customWidth="1" style="29" min="3" max="3"/>
    <col width="37" customWidth="1" style="29" min="4" max="4"/>
    <col width="19" customWidth="1" style="29" min="5" max="5"/>
    <col width="16" customWidth="1" style="29" min="6" max="6"/>
    <col width="50" customWidth="1" style="29" min="7" max="7"/>
    <col width="17" customWidth="1" style="29" min="8" max="8"/>
    <col width="71" customWidth="1" style="29" min="9" max="9"/>
    <col width="39" customWidth="1" style="29" min="10" max="10"/>
    <col width="12" customWidth="1" style="29" min="11" max="11"/>
  </cols>
  <sheetData>
    <row r="1" ht="21" customHeight="1" s="29">
      <c r="A1" s="1" t="inlineStr">
        <is>
          <t>NFL Projections &amp; Sportsbook Prop Edge Model</t>
        </is>
      </c>
    </row>
    <row r="2">
      <c r="A2" s="2" t="inlineStr">
        <is>
          <t>Dynamic prop tracker linking sportsbook lines to model baselines. Formulas automatically compute value edges and Over/Under signals.</t>
        </is>
      </c>
    </row>
    <row r="4">
      <c r="A4" s="3" t="inlineStr">
        <is>
          <t>Total Slate Players</t>
        </is>
      </c>
      <c r="B4" s="4" t="n"/>
      <c r="D4" s="3" t="inlineStr">
        <is>
          <t>Top QB Projected Score</t>
        </is>
      </c>
      <c r="E4" s="4" t="n"/>
      <c r="G4" s="3" t="inlineStr">
        <is>
          <t>Top RB Projected Score</t>
        </is>
      </c>
      <c r="H4" s="4" t="n"/>
      <c r="J4" s="3" t="inlineStr">
        <is>
          <t>Top WR Projected Score</t>
        </is>
      </c>
      <c r="K4" s="4" t="n"/>
    </row>
    <row r="5" ht="21" customHeight="1" s="29">
      <c r="A5" s="5">
        <f>COUNTA('Quarterbacks (QB)'!B5:B49)+COUNTA('Running Backs (RB)'!B5:B52)+COUNTA('Wide Receivers (WR)'!B5:B137)+COUNTA('Tight Ends (TE)'!B5:B50)</f>
        <v/>
      </c>
      <c r="B5" s="4" t="n"/>
      <c r="D5" s="6">
        <f>MAX('Quarterbacks (QB)'!L5:L49)</f>
        <v/>
      </c>
      <c r="E5" s="4" t="n"/>
      <c r="G5" s="6">
        <f>MAX('Running Backs (RB)'!K5:K52)</f>
        <v/>
      </c>
      <c r="H5" s="4" t="n"/>
      <c r="J5" s="6">
        <f>MAX('Wide Receivers (WR)'!J5:J137)</f>
        <v/>
      </c>
      <c r="K5" s="4" t="n"/>
    </row>
    <row r="8" ht="15.6" customHeight="1" s="29">
      <c r="A8" s="7" t="inlineStr">
        <is>
          <t>Live Sportsbook Line Edge Tracker &amp; Signal Generator</t>
        </is>
      </c>
    </row>
    <row r="9">
      <c r="A9" s="8" t="inlineStr">
        <is>
          <t>Player Name</t>
        </is>
      </c>
      <c r="B9" s="9" t="inlineStr">
        <is>
          <t>Position</t>
        </is>
      </c>
      <c r="C9" s="9" t="inlineStr">
        <is>
          <t>Metric / Prop</t>
        </is>
      </c>
      <c r="D9" s="9" t="inlineStr">
        <is>
          <t>Model Projection</t>
        </is>
      </c>
      <c r="E9" s="9" t="inlineStr">
        <is>
          <t>Sportsbook Line</t>
        </is>
      </c>
      <c r="F9" s="9" t="inlineStr">
        <is>
          <t>Edge (Yards)</t>
        </is>
      </c>
      <c r="G9" s="9" t="inlineStr">
        <is>
          <t>Recommendation</t>
        </is>
      </c>
      <c r="H9" s="9" t="inlineStr">
        <is>
          <t>Edge %</t>
        </is>
      </c>
      <c r="I9" s="9" t="inlineStr">
        <is>
          <t>Suggested Stake</t>
        </is>
      </c>
    </row>
    <row r="10">
      <c r="A10" s="10" t="inlineStr">
        <is>
          <t>Josh Allen</t>
        </is>
      </c>
      <c r="B10" s="11" t="inlineStr">
        <is>
          <t>QB</t>
        </is>
      </c>
      <c r="C10" s="11" t="inlineStr">
        <is>
          <t>Pass Yds</t>
        </is>
      </c>
      <c r="D10" s="12">
        <f>INDEX('Quarterbacks (QB)'!F:F,MATCH(A10,'Quarterbacks (QB)'!B:B,0))</f>
        <v/>
      </c>
      <c r="E10" s="13" t="n">
        <v>220.5</v>
      </c>
      <c r="F10" s="14">
        <f>D10-E10</f>
        <v/>
      </c>
      <c r="G10" s="15">
        <f>IF(F10&gt;0, "OVER", IF(F10&lt;0, "UNDER", "PUSH"))</f>
        <v/>
      </c>
      <c r="H10" s="16">
        <f>ABS(F10)/E10</f>
        <v/>
      </c>
      <c r="I10" s="11">
        <f>IF(ABS(F10)&gt;=10, "2.0 Units", IF(ABS(F10)&gt;=5, "1.0 Unit", "Pass"))</f>
        <v/>
      </c>
    </row>
    <row r="11">
      <c r="A11" s="17" t="inlineStr">
        <is>
          <t>Joe Burrow</t>
        </is>
      </c>
      <c r="B11" s="18" t="inlineStr">
        <is>
          <t>QB</t>
        </is>
      </c>
      <c r="C11" s="18" t="inlineStr">
        <is>
          <t>Pass Yds</t>
        </is>
      </c>
      <c r="D11" s="19">
        <f>INDEX('Quarterbacks (QB)'!F:F,MATCH(A11,'Quarterbacks (QB)'!B:B,0))</f>
        <v/>
      </c>
      <c r="E11" s="13" t="n">
        <v>258.5</v>
      </c>
      <c r="F11" s="20">
        <f>D11-E11</f>
        <v/>
      </c>
      <c r="G11" s="21">
        <f>IF(F11&gt;0, "OVER", IF(F11&lt;0, "UNDER", "PUSH"))</f>
        <v/>
      </c>
      <c r="H11" s="22">
        <f>ABS(F11)/E11</f>
        <v/>
      </c>
      <c r="I11" s="18">
        <f>IF(ABS(F11)&gt;=10, "2.0 Units", IF(ABS(F11)&gt;=5, "1.0 Unit", "Pass"))</f>
        <v/>
      </c>
    </row>
    <row r="12">
      <c r="A12" s="10" t="inlineStr">
        <is>
          <t>Jahmyr Gibbs</t>
        </is>
      </c>
      <c r="B12" s="11" t="inlineStr">
        <is>
          <t>RB</t>
        </is>
      </c>
      <c r="C12" s="11" t="inlineStr">
        <is>
          <t>Scrimmage Yds</t>
        </is>
      </c>
      <c r="D12" s="12">
        <f>INDEX('Running Backs (RB)'!F:F,MATCH(A12,'Running Backs (RB)'!B:B,0))</f>
        <v/>
      </c>
      <c r="E12" s="13" t="n">
        <v>88.5</v>
      </c>
      <c r="F12" s="14">
        <f>D12-E12</f>
        <v/>
      </c>
      <c r="G12" s="15">
        <f>IF(F12&gt;0, "OVER", IF(F12&lt;0, "UNDER", "PUSH"))</f>
        <v/>
      </c>
      <c r="H12" s="16">
        <f>ABS(F12)/E12</f>
        <v/>
      </c>
      <c r="I12" s="11">
        <f>IF(ABS(F12)&gt;=10, "2.0 Units", IF(ABS(F12)&gt;=5, "1.0 Unit", "Pass"))</f>
        <v/>
      </c>
    </row>
    <row r="13">
      <c r="A13" s="17" t="inlineStr">
        <is>
          <t>Jonathan Taylor</t>
        </is>
      </c>
      <c r="B13" s="18" t="inlineStr">
        <is>
          <t>RB</t>
        </is>
      </c>
      <c r="C13" s="18" t="inlineStr">
        <is>
          <t>Scrimmage Yds</t>
        </is>
      </c>
      <c r="D13" s="19">
        <f>INDEX('Running Backs (RB)'!F:F,MATCH(A13,'Running Backs (RB)'!B:B,0))</f>
        <v/>
      </c>
      <c r="E13" s="13" t="n">
        <v>95.5</v>
      </c>
      <c r="F13" s="20">
        <f>D13-E13</f>
        <v/>
      </c>
      <c r="G13" s="21">
        <f>IF(F13&gt;0, "OVER", IF(F13&lt;0, "UNDER", "PUSH"))</f>
        <v/>
      </c>
      <c r="H13" s="22">
        <f>ABS(F13)/E13</f>
        <v/>
      </c>
      <c r="I13" s="18">
        <f>IF(ABS(F13)&gt;=10, "2.0 Units", IF(ABS(F13)&gt;=5, "1.0 Unit", "Pass"))</f>
        <v/>
      </c>
    </row>
    <row r="14">
      <c r="A14" s="10" t="inlineStr">
        <is>
          <t>Ja'Marr Chase</t>
        </is>
      </c>
      <c r="B14" s="11" t="inlineStr">
        <is>
          <t>WR</t>
        </is>
      </c>
      <c r="C14" s="11" t="inlineStr">
        <is>
          <t>Rec Yds</t>
        </is>
      </c>
      <c r="D14" s="12">
        <f>INDEX('Wide Receivers (WR)'!F:F,MATCH(A14,'Wide Receivers (WR)'!B:B,0))</f>
        <v/>
      </c>
      <c r="E14" s="13" t="n">
        <v>85.5</v>
      </c>
      <c r="F14" s="14">
        <f>D14-E14</f>
        <v/>
      </c>
      <c r="G14" s="15">
        <f>IF(F14&gt;0, "OVER", IF(F14&lt;0, "UNDER", "PUSH"))</f>
        <v/>
      </c>
      <c r="H14" s="16">
        <f>ABS(F14)/E14</f>
        <v/>
      </c>
      <c r="I14" s="11">
        <f>IF(ABS(F14)&gt;=10, "2.0 Units", IF(ABS(F14)&gt;=5, "1.0 Unit", "Pass"))</f>
        <v/>
      </c>
    </row>
    <row r="15">
      <c r="A15" s="17" t="inlineStr">
        <is>
          <t>Amon-Ra St. Brown</t>
        </is>
      </c>
      <c r="B15" s="18" t="inlineStr">
        <is>
          <t>WR</t>
        </is>
      </c>
      <c r="C15" s="18" t="inlineStr">
        <is>
          <t>Rec Yds</t>
        </is>
      </c>
      <c r="D15" s="19">
        <f>INDEX('Wide Receivers (WR)'!F:F,MATCH(A15,'Wide Receivers (WR)'!B:B,0))</f>
        <v/>
      </c>
      <c r="E15" s="13" t="n">
        <v>79.5</v>
      </c>
      <c r="F15" s="20">
        <f>D15-E15</f>
        <v/>
      </c>
      <c r="G15" s="21">
        <f>IF(F15&gt;0, "OVER", IF(F15&lt;0, "UNDER", "PUSH"))</f>
        <v/>
      </c>
      <c r="H15" s="22">
        <f>ABS(F15)/E15</f>
        <v/>
      </c>
      <c r="I15" s="18">
        <f>IF(ABS(F15)&gt;=10, "2.0 Units", IF(ABS(F15)&gt;=5, "1.0 Unit", "Pass"))</f>
        <v/>
      </c>
    </row>
    <row r="16">
      <c r="A16" s="10" t="inlineStr">
        <is>
          <t>Drake London</t>
        </is>
      </c>
      <c r="B16" s="11" t="inlineStr">
        <is>
          <t>WR</t>
        </is>
      </c>
      <c r="C16" s="11" t="inlineStr">
        <is>
          <t>Rec Yds</t>
        </is>
      </c>
      <c r="D16" s="12">
        <f>INDEX('Wide Receivers (WR)'!F:F,MATCH(A16,'Wide Receivers (WR)'!B:B,0))</f>
        <v/>
      </c>
      <c r="E16" s="13" t="n">
        <v>68.5</v>
      </c>
      <c r="F16" s="14">
        <f>D16-E16</f>
        <v/>
      </c>
      <c r="G16" s="15">
        <f>IF(F16&gt;0, "OVER", IF(F16&lt;0, "UNDER", "PUSH"))</f>
        <v/>
      </c>
      <c r="H16" s="16">
        <f>ABS(F16)/E16</f>
        <v/>
      </c>
      <c r="I16" s="11">
        <f>IF(ABS(F16)&gt;=10, "2.0 Units", IF(ABS(F16)&gt;=5, "1.0 Unit", "Pass"))</f>
        <v/>
      </c>
    </row>
    <row r="17">
      <c r="A17" s="17" t="inlineStr">
        <is>
          <t>Trey McBride</t>
        </is>
      </c>
      <c r="B17" s="18" t="inlineStr">
        <is>
          <t>TE</t>
        </is>
      </c>
      <c r="C17" s="18" t="inlineStr">
        <is>
          <t>Rec Yds</t>
        </is>
      </c>
      <c r="D17" s="19">
        <f>INDEX('Tight Ends (TE)'!F:F,MATCH(A17,'Tight Ends (TE)'!B:B,0))</f>
        <v/>
      </c>
      <c r="E17" s="13" t="n">
        <v>62.5</v>
      </c>
      <c r="F17" s="20">
        <f>D17-E17</f>
        <v/>
      </c>
      <c r="G17" s="21">
        <f>IF(F17&gt;0, "OVER", IF(F17&lt;0, "UNDER", "PUSH"))</f>
        <v/>
      </c>
      <c r="H17" s="22">
        <f>ABS(F17)/E17</f>
        <v/>
      </c>
      <c r="I17" s="18">
        <f>IF(ABS(F17)&gt;=10, "2.0 Units", IF(ABS(F17)&gt;=5, "1.0 Unit", "Pass"))</f>
        <v/>
      </c>
    </row>
    <row r="18">
      <c r="A18" s="10" t="n"/>
      <c r="B18" s="11" t="n"/>
      <c r="C18" s="11" t="n"/>
      <c r="D18" s="12" t="n"/>
      <c r="E18" s="13" t="n"/>
      <c r="F18" s="14" t="n"/>
      <c r="G18" s="15" t="n"/>
      <c r="H18" s="16" t="n"/>
      <c r="I18" s="11" t="n"/>
    </row>
    <row r="20" ht="21" customHeight="1" s="29">
      <c r="A20" s="1" t="inlineStr">
        <is>
          <t>Week 1 cleanup</t>
        </is>
      </c>
      <c r="B20" t="inlineStr">
        <is>
          <t>Removed inactive/out players and players outside the top-2 depth-chart role; see 'Removed Players' for the audit trail.</t>
        </is>
      </c>
    </row>
  </sheetData>
  <mergeCells count="1">
    <mergeCell ref="B20:K2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4" topLeftCell="A5" activePane="bottomLeft" state="frozen"/>
      <selection pane="bottomLeft" activeCell="D5" sqref="D5:E49"/>
    </sheetView>
  </sheetViews>
  <sheetFormatPr baseColWidth="8" defaultRowHeight="14.4"/>
  <cols>
    <col width="12" customWidth="1" style="29" min="1" max="1"/>
    <col width="20" bestFit="1" customWidth="1" style="29" min="2" max="2"/>
    <col width="12" customWidth="1" style="29" min="3" max="5"/>
    <col width="17" customWidth="1" style="29" min="6" max="6"/>
    <col width="16" customWidth="1" style="29" min="7" max="7"/>
    <col width="17.33203125" bestFit="1" customWidth="1" style="29" min="8" max="8"/>
    <col width="17" bestFit="1" customWidth="1" style="29" min="9" max="9"/>
    <col width="13" bestFit="1" customWidth="1" style="29" min="10" max="10"/>
    <col width="13" bestFit="1" customWidth="1" style="29" min="11" max="11"/>
    <col width="16" bestFit="1" customWidth="1" style="29" min="12" max="12"/>
    <col width="10" bestFit="1" customWidth="1" style="29" min="13" max="13"/>
    <col width="14" customWidth="1" style="29" min="14" max="14"/>
  </cols>
  <sheetData>
    <row r="1" ht="21" customHeight="1" s="29">
      <c r="A1" s="1" t="inlineStr">
        <is>
          <t>Quarterbacks (QB) - Sportsbook Props Projection Model</t>
        </is>
      </c>
    </row>
    <row r="2">
      <c r="A2" s="2" t="n"/>
    </row>
    <row r="3"/>
    <row r="4" ht="28.8" customHeight="1" s="29">
      <c r="A4" s="9" t="inlineStr">
        <is>
          <t>Rank</t>
        </is>
      </c>
      <c r="B4" s="8" t="inlineStr">
        <is>
          <t>Player Name</t>
        </is>
      </c>
      <c r="C4" s="9" t="inlineStr">
        <is>
          <t>Team</t>
        </is>
      </c>
      <c r="D4" s="9" t="inlineStr">
        <is>
          <t>Opponent</t>
        </is>
      </c>
      <c r="E4" s="9" t="inlineStr">
        <is>
          <t>Salary</t>
        </is>
      </c>
      <c r="F4" s="32" t="inlineStr">
        <is>
          <t>Pass Yds Prop</t>
        </is>
      </c>
      <c r="G4" s="32" t="inlineStr">
        <is>
          <t>Pass TD Odds</t>
        </is>
      </c>
      <c r="H4" s="32" t="inlineStr">
        <is>
          <t>Rush Yds Prop</t>
        </is>
      </c>
      <c r="I4" s="32" t="inlineStr">
        <is>
          <t>Rush TD Odds</t>
        </is>
      </c>
      <c r="J4" s="32" t="inlineStr">
        <is>
          <t>INT Prop</t>
        </is>
      </c>
      <c r="K4" s="32" t="inlineStr">
        <is>
          <t>Implied Pass TD %</t>
        </is>
      </c>
      <c r="L4" s="32" t="inlineStr">
        <is>
          <t>Implied Rush TD %</t>
        </is>
      </c>
      <c r="M4" s="32" t="inlineStr">
        <is>
          <t>Projected Score</t>
        </is>
      </c>
      <c r="N4" s="32" t="inlineStr">
        <is>
          <t>ESPN Projection</t>
        </is>
      </c>
      <c r="O4" s="32" t="inlineStr">
        <is>
          <t>Weighted Projection</t>
        </is>
      </c>
      <c r="P4" s="32" t="inlineStr">
        <is>
          <t>Value</t>
        </is>
      </c>
      <c r="Q4" s="32" t="inlineStr">
        <is>
          <t>Projected Ownership</t>
        </is>
      </c>
    </row>
    <row r="5">
      <c r="A5" s="35" t="n">
        <v>1</v>
      </c>
      <c r="B5" s="36" t="inlineStr">
        <is>
          <t>Josh Allen</t>
        </is>
      </c>
      <c r="C5" s="35" t="inlineStr">
        <is>
          <t>BUF</t>
        </is>
      </c>
      <c r="D5" s="35" t="inlineStr">
        <is>
          <t>BAL</t>
        </is>
      </c>
      <c r="E5" s="37" t="n">
        <v>9400</v>
      </c>
      <c r="F5" s="38" t="n"/>
      <c r="G5" s="54" t="n">
        <v>-220</v>
      </c>
      <c r="H5" s="38" t="n"/>
      <c r="I5" s="54" t="n">
        <v>-135</v>
      </c>
      <c r="J5" s="38" t="n"/>
      <c r="K5" s="39" t="n">
        <v>0.6875</v>
      </c>
      <c r="L5" s="39" t="n">
        <v>0.5745</v>
      </c>
      <c r="M5" s="39" t="n">
        <v>6.2</v>
      </c>
      <c r="N5" s="40" t="n">
        <v>31.4</v>
      </c>
      <c r="O5" s="40" t="n">
        <v>16.28</v>
      </c>
      <c r="P5" s="40" t="n">
        <v>1.73</v>
      </c>
      <c r="Q5" s="41" t="n">
        <v>0.0393</v>
      </c>
    </row>
    <row r="6">
      <c r="A6" s="42" t="n">
        <v>2</v>
      </c>
      <c r="B6" s="43" t="inlineStr">
        <is>
          <t>Jared Goff</t>
        </is>
      </c>
      <c r="C6" s="42" t="inlineStr">
        <is>
          <t>DET</t>
        </is>
      </c>
      <c r="D6" s="42" t="inlineStr">
        <is>
          <t>MIN</t>
        </is>
      </c>
      <c r="E6" s="44" t="n">
        <v>7800</v>
      </c>
      <c r="F6" s="38" t="n">
        <v>265.5</v>
      </c>
      <c r="G6" s="54" t="n">
        <v>-136</v>
      </c>
      <c r="H6" s="38" t="n"/>
      <c r="I6" s="54" t="n">
        <v>1750</v>
      </c>
      <c r="J6" s="38" t="n"/>
      <c r="K6" s="45" t="n">
        <v>0.5763</v>
      </c>
      <c r="L6" s="45" t="n">
        <v>0.0541</v>
      </c>
      <c r="M6" s="45" t="n">
        <v>13.25</v>
      </c>
      <c r="N6" s="40" t="n">
        <v>23.1</v>
      </c>
      <c r="O6" s="40" t="n">
        <v>17.19</v>
      </c>
      <c r="P6" s="40" t="n">
        <v>2.2</v>
      </c>
      <c r="Q6" s="41" t="n">
        <v>0.0629</v>
      </c>
    </row>
    <row r="7">
      <c r="A7" s="42" t="n">
        <v>3</v>
      </c>
      <c r="B7" s="43" t="inlineStr">
        <is>
          <t>Joe Burrow</t>
        </is>
      </c>
      <c r="C7" s="42" t="inlineStr">
        <is>
          <t>CIN</t>
        </is>
      </c>
      <c r="D7" s="42" t="inlineStr">
        <is>
          <t>TEN</t>
        </is>
      </c>
      <c r="E7" s="44" t="n">
        <v>8300</v>
      </c>
      <c r="F7" s="38" t="n"/>
      <c r="G7" s="54" t="n">
        <v>-220</v>
      </c>
      <c r="H7" s="38" t="n"/>
      <c r="I7" s="54" t="n">
        <v>600</v>
      </c>
      <c r="J7" s="38" t="n"/>
      <c r="K7" s="45" t="n">
        <v>0.6875</v>
      </c>
      <c r="L7" s="45" t="n">
        <v>0.1429</v>
      </c>
      <c r="M7" s="45" t="n">
        <v>3.61</v>
      </c>
      <c r="N7" s="40" t="n">
        <v>31.7</v>
      </c>
      <c r="O7" s="40" t="n">
        <v>14.84</v>
      </c>
      <c r="P7" s="40" t="n">
        <v>1.79</v>
      </c>
      <c r="Q7" s="41" t="n">
        <v>0.0308</v>
      </c>
    </row>
    <row r="8">
      <c r="A8" s="42" t="n">
        <v>4</v>
      </c>
      <c r="B8" s="43" t="inlineStr">
        <is>
          <t>Drake Maye</t>
        </is>
      </c>
      <c r="C8" s="42" t="inlineStr">
        <is>
          <t>NE</t>
        </is>
      </c>
      <c r="D8" s="42" t="inlineStr">
        <is>
          <t>MIA</t>
        </is>
      </c>
      <c r="E8" s="44" t="n">
        <v>8200</v>
      </c>
      <c r="F8" s="38" t="n"/>
      <c r="G8" s="54" t="n">
        <v>-220</v>
      </c>
      <c r="H8" s="38" t="n"/>
      <c r="I8" s="54" t="n">
        <v>275</v>
      </c>
      <c r="J8" s="38" t="n"/>
      <c r="K8" s="45" t="n">
        <v>0.6875</v>
      </c>
      <c r="L8" s="45" t="n">
        <v>0.2667</v>
      </c>
      <c r="M8" s="45" t="n">
        <v>4.35</v>
      </c>
      <c r="N8" s="40" t="n">
        <v>33.1</v>
      </c>
      <c r="O8" s="40" t="n">
        <v>15.85</v>
      </c>
      <c r="P8" s="40" t="n">
        <v>1.93</v>
      </c>
      <c r="Q8" s="41" t="n">
        <v>0.0419</v>
      </c>
    </row>
    <row r="9">
      <c r="A9" s="35" t="n">
        <v>5</v>
      </c>
      <c r="B9" s="36" t="inlineStr">
        <is>
          <t>Lamar Jackson</t>
        </is>
      </c>
      <c r="C9" s="35" t="inlineStr">
        <is>
          <t>BAL</t>
        </is>
      </c>
      <c r="D9" s="35" t="inlineStr">
        <is>
          <t>BUF</t>
        </is>
      </c>
      <c r="E9" s="37" t="n">
        <v>8500</v>
      </c>
      <c r="F9" s="46" t="n"/>
      <c r="G9" s="54" t="n">
        <v>-220</v>
      </c>
      <c r="H9" s="46" t="n"/>
      <c r="I9" s="54" t="n">
        <v>220</v>
      </c>
      <c r="J9" s="46" t="n"/>
      <c r="K9" s="39" t="n">
        <v>0.6875</v>
      </c>
      <c r="L9" s="39" t="n">
        <v>0.3125</v>
      </c>
      <c r="M9" s="39" t="n">
        <v>4.62</v>
      </c>
      <c r="N9" s="40" t="n">
        <v>30.2</v>
      </c>
      <c r="O9" s="40" t="n">
        <v>14.86</v>
      </c>
      <c r="P9" s="40" t="n">
        <v>1.75</v>
      </c>
      <c r="Q9" s="41" t="n">
        <v>0.03</v>
      </c>
    </row>
    <row r="10">
      <c r="A10" s="35" t="n">
        <v>6</v>
      </c>
      <c r="B10" s="36" t="inlineStr">
        <is>
          <t>Trevor Lawrence</t>
        </is>
      </c>
      <c r="C10" s="35" t="inlineStr">
        <is>
          <t>JAC</t>
        </is>
      </c>
      <c r="D10" s="35" t="inlineStr">
        <is>
          <t>IND</t>
        </is>
      </c>
      <c r="E10" s="37" t="n">
        <v>7700</v>
      </c>
      <c r="F10" s="38" t="n"/>
      <c r="G10" s="54" t="n">
        <v>-220</v>
      </c>
      <c r="H10" s="38" t="n"/>
      <c r="I10" s="54" t="n">
        <v>250</v>
      </c>
      <c r="J10" s="38" t="n"/>
      <c r="K10" s="39" t="n">
        <v>0.6875</v>
      </c>
      <c r="L10" s="39" t="n">
        <v>0.2857</v>
      </c>
      <c r="M10" s="39" t="n">
        <v>4.46</v>
      </c>
      <c r="N10" s="40" t="n">
        <v>29.6</v>
      </c>
      <c r="O10" s="40" t="n">
        <v>14.52</v>
      </c>
      <c r="P10" s="40" t="n">
        <v>1.89</v>
      </c>
      <c r="Q10" s="41" t="n">
        <v>0.0307</v>
      </c>
    </row>
    <row r="11">
      <c r="A11" s="35" t="n">
        <v>7</v>
      </c>
      <c r="B11" s="36" t="inlineStr">
        <is>
          <t>Kirk Cousins</t>
        </is>
      </c>
      <c r="C11" s="35" t="inlineStr">
        <is>
          <t>LV</t>
        </is>
      </c>
      <c r="D11" s="35" t="inlineStr">
        <is>
          <t>NYJ</t>
        </is>
      </c>
      <c r="E11" s="37" t="n">
        <v>6800</v>
      </c>
      <c r="F11" s="38" t="n"/>
      <c r="G11" s="54" t="n">
        <v>-220</v>
      </c>
      <c r="H11" s="38" t="n"/>
      <c r="I11" s="54" t="n">
        <v>1300</v>
      </c>
      <c r="J11" s="38" t="n"/>
      <c r="K11" s="39" t="n">
        <v>0.6875</v>
      </c>
      <c r="L11" s="39" t="n">
        <v>0.07140000000000001</v>
      </c>
      <c r="M11" s="39" t="n">
        <v>3.18</v>
      </c>
      <c r="N11" s="40" t="n">
        <v>24</v>
      </c>
      <c r="O11" s="40" t="n">
        <v>11.51</v>
      </c>
      <c r="P11" s="40" t="n">
        <v>1.69</v>
      </c>
      <c r="Q11" s="41" t="n">
        <v>0.0105</v>
      </c>
    </row>
    <row r="12">
      <c r="A12" s="42" t="n">
        <v>8</v>
      </c>
      <c r="B12" s="43" t="inlineStr">
        <is>
          <t>Matthew Stafford</t>
        </is>
      </c>
      <c r="C12" s="42" t="inlineStr">
        <is>
          <t>LAR</t>
        </is>
      </c>
      <c r="D12" s="42" t="inlineStr">
        <is>
          <t>LAC</t>
        </is>
      </c>
      <c r="E12" s="44" t="n">
        <v>7600</v>
      </c>
      <c r="F12" s="38" t="n"/>
      <c r="G12" s="54" t="n">
        <v>-220</v>
      </c>
      <c r="H12" s="38" t="n"/>
      <c r="I12" s="54" t="n">
        <v>1900</v>
      </c>
      <c r="J12" s="38" t="n"/>
      <c r="K12" s="45" t="n">
        <v>0.6875</v>
      </c>
      <c r="L12" s="45" t="n">
        <v>0.05</v>
      </c>
      <c r="M12" s="45" t="n">
        <v>3.05</v>
      </c>
      <c r="N12" s="40" t="n">
        <v>24.6</v>
      </c>
      <c r="O12" s="40" t="n">
        <v>11.67</v>
      </c>
      <c r="P12" s="40" t="n">
        <v>1.54</v>
      </c>
      <c r="Q12" s="41" t="n">
        <v>0.009900000000000001</v>
      </c>
    </row>
    <row r="13">
      <c r="A13" s="42" t="n">
        <v>9</v>
      </c>
      <c r="B13" s="43" t="inlineStr">
        <is>
          <t>Dak Prescott</t>
        </is>
      </c>
      <c r="C13" s="42" t="inlineStr">
        <is>
          <t>DAL</t>
        </is>
      </c>
      <c r="D13" s="42" t="inlineStr">
        <is>
          <t>ARI</t>
        </is>
      </c>
      <c r="E13" s="44" t="n">
        <v>8000</v>
      </c>
      <c r="F13" s="38" t="n"/>
      <c r="G13" s="54" t="n">
        <v>-220</v>
      </c>
      <c r="H13" s="38" t="n"/>
      <c r="I13" s="54" t="n">
        <v>400</v>
      </c>
      <c r="J13" s="38" t="n"/>
      <c r="K13" s="45" t="n">
        <v>0.6875</v>
      </c>
      <c r="L13" s="45" t="n">
        <v>0.2</v>
      </c>
      <c r="M13" s="45" t="n">
        <v>3.95</v>
      </c>
      <c r="N13" s="40" t="n">
        <v>27.6</v>
      </c>
      <c r="O13" s="40" t="n">
        <v>13.41</v>
      </c>
      <c r="P13" s="40" t="n">
        <v>1.68</v>
      </c>
      <c r="Q13" s="41" t="n">
        <v>0.0199</v>
      </c>
    </row>
    <row r="14">
      <c r="A14" s="35" t="n">
        <v>10</v>
      </c>
      <c r="B14" s="36" t="inlineStr">
        <is>
          <t>Patrick Mahomes</t>
        </is>
      </c>
      <c r="C14" s="35" t="inlineStr">
        <is>
          <t>KC</t>
        </is>
      </c>
      <c r="D14" s="35" t="inlineStr">
        <is>
          <t>DEN</t>
        </is>
      </c>
      <c r="E14" s="37" t="n">
        <v>7900</v>
      </c>
      <c r="F14" s="38" t="n"/>
      <c r="G14" s="54" t="n">
        <v>-220</v>
      </c>
      <c r="H14" s="38" t="n"/>
      <c r="I14" s="54" t="n">
        <v>450</v>
      </c>
      <c r="J14" s="38" t="n"/>
      <c r="K14" s="39" t="n">
        <v>0.6875</v>
      </c>
      <c r="L14" s="39" t="n">
        <v>0.1818</v>
      </c>
      <c r="M14" s="39" t="n">
        <v>3.84</v>
      </c>
      <c r="N14" s="40" t="n">
        <v>19.8</v>
      </c>
      <c r="O14" s="40" t="n">
        <v>10.22</v>
      </c>
      <c r="P14" s="40" t="n">
        <v>1.29</v>
      </c>
      <c r="Q14" s="41" t="n">
        <v>0.0037</v>
      </c>
    </row>
    <row r="15">
      <c r="A15" s="42" t="n">
        <v>11</v>
      </c>
      <c r="B15" s="43" t="inlineStr">
        <is>
          <t>Michael Penix Jr.</t>
        </is>
      </c>
      <c r="C15" s="42" t="inlineStr">
        <is>
          <t>ATL</t>
        </is>
      </c>
      <c r="D15" s="42" t="inlineStr">
        <is>
          <t>TB</t>
        </is>
      </c>
      <c r="E15" s="44" t="n">
        <v>6900</v>
      </c>
      <c r="F15" s="38" t="n"/>
      <c r="G15" s="54" t="n">
        <v>-220</v>
      </c>
      <c r="H15" s="38" t="n"/>
      <c r="I15" s="54" t="n">
        <v>700</v>
      </c>
      <c r="J15" s="38" t="n"/>
      <c r="K15" s="45" t="n">
        <v>0.6875</v>
      </c>
      <c r="L15" s="45" t="n">
        <v>0.125</v>
      </c>
      <c r="M15" s="45" t="n">
        <v>3.5</v>
      </c>
      <c r="N15" s="40" t="n">
        <v>22</v>
      </c>
      <c r="O15" s="40" t="n">
        <v>10.9</v>
      </c>
      <c r="P15" s="40" t="n">
        <v>1.58</v>
      </c>
      <c r="Q15" s="41" t="n">
        <v>0.0072</v>
      </c>
    </row>
    <row r="16">
      <c r="A16" s="42" t="n">
        <v>12</v>
      </c>
      <c r="B16" s="43" t="inlineStr">
        <is>
          <t>Aaron Rodgers</t>
        </is>
      </c>
      <c r="C16" s="42" t="inlineStr">
        <is>
          <t>PIT</t>
        </is>
      </c>
      <c r="D16" s="42" t="inlineStr">
        <is>
          <t>CLE</t>
        </is>
      </c>
      <c r="E16" s="44" t="n">
        <v>7200</v>
      </c>
      <c r="F16" s="38" t="n"/>
      <c r="G16" s="54" t="n">
        <v>-220</v>
      </c>
      <c r="H16" s="38" t="n"/>
      <c r="I16" s="54" t="n">
        <v>1000</v>
      </c>
      <c r="J16" s="38" t="n"/>
      <c r="K16" s="45" t="n">
        <v>0.6875</v>
      </c>
      <c r="L16" s="45" t="n">
        <v>0.09089999999999999</v>
      </c>
      <c r="M16" s="45" t="n">
        <v>3.3</v>
      </c>
      <c r="N16" s="40" t="n">
        <v>21.8</v>
      </c>
      <c r="O16" s="40" t="n">
        <v>10.7</v>
      </c>
      <c r="P16" s="40" t="n">
        <v>1.49</v>
      </c>
      <c r="Q16" s="41" t="n">
        <v>0.006</v>
      </c>
    </row>
    <row r="17">
      <c r="A17" s="35" t="n">
        <v>13</v>
      </c>
      <c r="B17" s="36" t="inlineStr">
        <is>
          <t>Jacoby Brissett</t>
        </is>
      </c>
      <c r="C17" s="35" t="inlineStr">
        <is>
          <t>ARI</t>
        </is>
      </c>
      <c r="D17" s="35" t="inlineStr">
        <is>
          <t>DAL</t>
        </is>
      </c>
      <c r="E17" s="37" t="n">
        <v>7100</v>
      </c>
      <c r="F17" s="38" t="n"/>
      <c r="G17" s="54" t="n">
        <v>-220</v>
      </c>
      <c r="H17" s="38" t="n"/>
      <c r="I17" s="54" t="n">
        <v>650</v>
      </c>
      <c r="J17" s="38" t="n"/>
      <c r="K17" s="39" t="n">
        <v>0.6875</v>
      </c>
      <c r="L17" s="39" t="n">
        <v>0.1333</v>
      </c>
      <c r="M17" s="39" t="n">
        <v>3.55</v>
      </c>
      <c r="N17" s="40" t="n">
        <v>22.3</v>
      </c>
      <c r="O17" s="40" t="n">
        <v>11.05</v>
      </c>
      <c r="P17" s="40" t="n">
        <v>1.56</v>
      </c>
      <c r="Q17" s="41" t="n">
        <v>0.0077</v>
      </c>
    </row>
    <row r="18">
      <c r="A18" s="42" t="n">
        <v>14</v>
      </c>
      <c r="B18" s="43" t="inlineStr">
        <is>
          <t>Deshaun Watson</t>
        </is>
      </c>
      <c r="C18" s="42" t="inlineStr">
        <is>
          <t>CLE</t>
        </is>
      </c>
      <c r="D18" s="42" t="inlineStr">
        <is>
          <t>PIT</t>
        </is>
      </c>
      <c r="E18" s="44" t="n">
        <v>7300</v>
      </c>
      <c r="F18" s="38" t="n"/>
      <c r="G18" s="54" t="n">
        <v>-220</v>
      </c>
      <c r="H18" s="38" t="n"/>
      <c r="I18" s="54" t="n">
        <v>400</v>
      </c>
      <c r="J18" s="38" t="n"/>
      <c r="K18" s="45" t="n">
        <v>0.6875</v>
      </c>
      <c r="L18" s="45" t="n">
        <v>0.2</v>
      </c>
      <c r="M18" s="45" t="n">
        <v>3.95</v>
      </c>
      <c r="N18" s="40" t="n">
        <v>17.9</v>
      </c>
      <c r="O18" s="40" t="n">
        <v>9.529999999999999</v>
      </c>
      <c r="P18" s="40" t="n">
        <v>1.31</v>
      </c>
      <c r="Q18" s="41" t="n">
        <v>0.0022</v>
      </c>
    </row>
    <row r="19">
      <c r="A19" s="35" t="n">
        <v>15</v>
      </c>
      <c r="B19" s="36" t="inlineStr">
        <is>
          <t>Geno Smith</t>
        </is>
      </c>
      <c r="C19" s="35" t="inlineStr">
        <is>
          <t>NYJ</t>
        </is>
      </c>
      <c r="D19" s="35" t="inlineStr">
        <is>
          <t>LV</t>
        </is>
      </c>
      <c r="E19" s="37" t="n">
        <v>7000</v>
      </c>
      <c r="F19" s="38" t="n"/>
      <c r="G19" s="54" t="n">
        <v>-220</v>
      </c>
      <c r="H19" s="38" t="n"/>
      <c r="I19" s="54" t="n">
        <v>750</v>
      </c>
      <c r="J19" s="46" t="n"/>
      <c r="K19" s="39" t="n">
        <v>0.6875</v>
      </c>
      <c r="L19" s="39" t="n">
        <v>0.1176</v>
      </c>
      <c r="M19" s="39" t="n">
        <v>3.46</v>
      </c>
      <c r="N19" s="40" t="n">
        <v>26.2</v>
      </c>
      <c r="O19" s="40" t="n">
        <v>12.55</v>
      </c>
      <c r="P19" s="40" t="n">
        <v>1.79</v>
      </c>
      <c r="Q19" s="41" t="n">
        <v>0.0168</v>
      </c>
    </row>
    <row r="20">
      <c r="A20" s="35" t="n">
        <v>16</v>
      </c>
      <c r="B20" s="36" t="inlineStr">
        <is>
          <t>Malik Willis</t>
        </is>
      </c>
      <c r="C20" s="35" t="inlineStr">
        <is>
          <t>MIA</t>
        </is>
      </c>
      <c r="D20" s="35" t="inlineStr">
        <is>
          <t>NE</t>
        </is>
      </c>
      <c r="E20" s="37" t="n">
        <v>6500</v>
      </c>
      <c r="F20" s="38" t="n"/>
      <c r="G20" s="54" t="n">
        <v>-220</v>
      </c>
      <c r="H20" s="38" t="n"/>
      <c r="I20" s="54" t="n">
        <v>280</v>
      </c>
      <c r="J20" s="38" t="n"/>
      <c r="K20" s="39" t="n">
        <v>0.6875</v>
      </c>
      <c r="L20" s="39" t="n">
        <v>0.2632</v>
      </c>
      <c r="M20" s="39" t="n">
        <v>4.33</v>
      </c>
      <c r="N20" s="40" t="n">
        <v>21.8</v>
      </c>
      <c r="O20" s="40" t="n">
        <v>11.32</v>
      </c>
      <c r="P20" s="40" t="n">
        <v>1.74</v>
      </c>
      <c r="Q20" s="41" t="n">
        <v>0.0101</v>
      </c>
    </row>
    <row r="21">
      <c r="A21" s="42" t="n">
        <v>17</v>
      </c>
      <c r="B21" s="43" t="inlineStr">
        <is>
          <t>Bo Nix</t>
        </is>
      </c>
      <c r="C21" s="42" t="inlineStr">
        <is>
          <t>DEN</t>
        </is>
      </c>
      <c r="D21" s="42" t="inlineStr">
        <is>
          <t>KC</t>
        </is>
      </c>
      <c r="E21" s="44" t="n">
        <v>7100</v>
      </c>
      <c r="F21" s="38" t="n"/>
      <c r="G21" s="54" t="n">
        <v>-220</v>
      </c>
      <c r="H21" s="38" t="n"/>
      <c r="I21" s="54" t="n">
        <v>350</v>
      </c>
      <c r="J21" s="38" t="n"/>
      <c r="K21" s="45" t="n">
        <v>0.6875</v>
      </c>
      <c r="L21" s="45" t="n">
        <v>0.2222</v>
      </c>
      <c r="M21" s="45" t="n">
        <v>4.08</v>
      </c>
      <c r="N21" s="40" t="n">
        <v>19.1</v>
      </c>
      <c r="O21" s="40" t="n">
        <v>10.09</v>
      </c>
      <c r="P21" s="40" t="n">
        <v>1.42</v>
      </c>
      <c r="Q21" s="41" t="n">
        <v>0.0039</v>
      </c>
    </row>
    <row r="22">
      <c r="A22" s="35" t="n">
        <v>18</v>
      </c>
      <c r="B22" s="36" t="inlineStr">
        <is>
          <t>Justin Herbert</t>
        </is>
      </c>
      <c r="C22" s="35" t="inlineStr">
        <is>
          <t>LAC</t>
        </is>
      </c>
      <c r="D22" s="35" t="inlineStr">
        <is>
          <t>LAR</t>
        </is>
      </c>
      <c r="E22" s="37" t="n">
        <v>6800</v>
      </c>
      <c r="F22" s="38" t="n"/>
      <c r="G22" s="54" t="n">
        <v>-220</v>
      </c>
      <c r="H22" s="38" t="n"/>
      <c r="I22" s="54" t="n">
        <v>400</v>
      </c>
      <c r="J22" s="38" t="n"/>
      <c r="K22" s="39" t="n">
        <v>0.6875</v>
      </c>
      <c r="L22" s="39" t="n">
        <v>0.2</v>
      </c>
      <c r="M22" s="39" t="n">
        <v>3.95</v>
      </c>
      <c r="N22" s="40" t="n">
        <v>15.4</v>
      </c>
      <c r="O22" s="40" t="n">
        <v>8.529999999999999</v>
      </c>
      <c r="P22" s="40" t="n">
        <v>1.25</v>
      </c>
      <c r="Q22" s="41" t="n">
        <v>0.0004</v>
      </c>
    </row>
    <row r="23">
      <c r="A23" s="35" t="n">
        <v>19</v>
      </c>
      <c r="B23" s="36" t="inlineStr">
        <is>
          <t>Tyler Huntley</t>
        </is>
      </c>
      <c r="C23" s="35" t="inlineStr">
        <is>
          <t>BAL</t>
        </is>
      </c>
      <c r="D23" s="35" t="inlineStr">
        <is>
          <t>BUF</t>
        </is>
      </c>
      <c r="E23" s="37" t="n">
        <v>6700</v>
      </c>
      <c r="F23" s="38" t="n"/>
      <c r="G23" s="54" t="n">
        <v>-220</v>
      </c>
      <c r="H23" s="38" t="n"/>
      <c r="I23" s="54" t="n">
        <v>300</v>
      </c>
      <c r="J23" s="38" t="n"/>
      <c r="K23" s="39" t="n">
        <v>0.6875</v>
      </c>
      <c r="L23" s="39" t="n">
        <v>0.25</v>
      </c>
      <c r="M23" s="39" t="n">
        <v>4.25</v>
      </c>
      <c r="N23" s="40" t="n">
        <v>0</v>
      </c>
      <c r="O23" s="40" t="n">
        <v>4.25</v>
      </c>
      <c r="P23" s="40" t="n">
        <v>0.63</v>
      </c>
      <c r="Q23" s="41" t="n">
        <v>0</v>
      </c>
    </row>
    <row r="24">
      <c r="A24" s="42" t="n">
        <v>20</v>
      </c>
      <c r="B24" s="43" t="inlineStr">
        <is>
          <t>Jake Browning</t>
        </is>
      </c>
      <c r="C24" s="42" t="inlineStr">
        <is>
          <t>LAC</t>
        </is>
      </c>
      <c r="D24" s="42" t="inlineStr">
        <is>
          <t>LAR</t>
        </is>
      </c>
      <c r="E24" s="44" t="n">
        <v>6000</v>
      </c>
      <c r="F24" s="38" t="n"/>
      <c r="G24" s="54" t="n">
        <v>-220</v>
      </c>
      <c r="H24" s="38" t="n"/>
      <c r="I24" s="54" t="n"/>
      <c r="J24" s="38" t="n"/>
      <c r="K24" s="45" t="n">
        <v>0.6875</v>
      </c>
      <c r="L24" s="45" t="n">
        <v>0.1053</v>
      </c>
      <c r="M24" s="45" t="n">
        <v>2.75</v>
      </c>
      <c r="N24" s="40" t="n">
        <v>0</v>
      </c>
      <c r="O24" s="40" t="n">
        <v>2.75</v>
      </c>
      <c r="P24" s="40" t="n">
        <v>0.46</v>
      </c>
      <c r="Q24" s="41" t="n">
        <v>0</v>
      </c>
    </row>
    <row r="25">
      <c r="A25" s="42" t="n">
        <v>21</v>
      </c>
      <c r="B25" s="43" t="inlineStr">
        <is>
          <t>Cam Ward</t>
        </is>
      </c>
      <c r="C25" s="42" t="inlineStr">
        <is>
          <t>TEN</t>
        </is>
      </c>
      <c r="D25" s="42" t="inlineStr">
        <is>
          <t>CIN</t>
        </is>
      </c>
      <c r="E25" s="44" t="n">
        <v>6500</v>
      </c>
      <c r="F25" s="38" t="n"/>
      <c r="G25" s="54" t="n">
        <v>-220</v>
      </c>
      <c r="H25" s="38" t="n"/>
      <c r="I25" s="54" t="n">
        <v>400</v>
      </c>
      <c r="J25" s="38" t="n"/>
      <c r="K25" s="45" t="n">
        <v>0.6875</v>
      </c>
      <c r="L25" s="45" t="n">
        <v>0.2</v>
      </c>
      <c r="M25" s="45" t="n">
        <v>3.95</v>
      </c>
      <c r="N25" s="40" t="n">
        <v>15</v>
      </c>
      <c r="O25" s="40" t="n">
        <v>8.369999999999999</v>
      </c>
      <c r="P25" s="40" t="n">
        <v>1.29</v>
      </c>
      <c r="Q25" s="41" t="n">
        <v>0.0003</v>
      </c>
    </row>
    <row r="26">
      <c r="A26" s="42" t="n">
        <v>22</v>
      </c>
      <c r="B26" s="43" t="inlineStr">
        <is>
          <t>Kyler Murray</t>
        </is>
      </c>
      <c r="C26" s="42" t="inlineStr">
        <is>
          <t>MIN</t>
        </is>
      </c>
      <c r="D26" s="42" t="inlineStr">
        <is>
          <t>DET</t>
        </is>
      </c>
      <c r="E26" s="44" t="n">
        <v>7400</v>
      </c>
      <c r="F26" s="38" t="n">
        <v>215.5</v>
      </c>
      <c r="G26" s="54" t="n">
        <v>134</v>
      </c>
      <c r="H26" s="38" t="n"/>
      <c r="I26" s="54" t="n">
        <v>500</v>
      </c>
      <c r="J26" s="38" t="n"/>
      <c r="K26" s="45" t="n">
        <v>0.4274</v>
      </c>
      <c r="L26" s="45" t="n">
        <v>0.1667</v>
      </c>
      <c r="M26" s="45" t="n">
        <v>11.33</v>
      </c>
      <c r="N26" s="40" t="n">
        <v>24.1</v>
      </c>
      <c r="O26" s="40" t="n">
        <v>16.44</v>
      </c>
      <c r="P26" s="40" t="n">
        <v>2.22</v>
      </c>
      <c r="Q26" s="41" t="n">
        <v>0.056</v>
      </c>
    </row>
    <row r="27">
      <c r="A27" s="42" t="n">
        <v>23</v>
      </c>
      <c r="B27" s="43" t="inlineStr">
        <is>
          <t>Baker Mayfield</t>
        </is>
      </c>
      <c r="C27" s="42" t="inlineStr">
        <is>
          <t>TB</t>
        </is>
      </c>
      <c r="D27" s="42" t="inlineStr">
        <is>
          <t>ATL</t>
        </is>
      </c>
      <c r="E27" s="44" t="n">
        <v>7000</v>
      </c>
      <c r="F27" s="46" t="n"/>
      <c r="G27" s="54" t="n">
        <v>-220</v>
      </c>
      <c r="H27" s="46" t="n"/>
      <c r="I27" s="54" t="n">
        <v>300</v>
      </c>
      <c r="J27" s="46" t="n"/>
      <c r="K27" s="45" t="n">
        <v>0.6875</v>
      </c>
      <c r="L27" s="45" t="n">
        <v>0.25</v>
      </c>
      <c r="M27" s="45" t="n">
        <v>4.25</v>
      </c>
      <c r="N27" s="40" t="n">
        <v>22.1</v>
      </c>
      <c r="O27" s="40" t="n">
        <v>11.39</v>
      </c>
      <c r="P27" s="40" t="n">
        <v>1.63</v>
      </c>
      <c r="Q27" s="41" t="n">
        <v>0.0095</v>
      </c>
    </row>
    <row r="28">
      <c r="A28" s="42" t="n">
        <v>24</v>
      </c>
      <c r="B28" s="43" t="inlineStr">
        <is>
          <t>Daniel Jones</t>
        </is>
      </c>
      <c r="C28" s="42" t="inlineStr">
        <is>
          <t>IND</t>
        </is>
      </c>
      <c r="D28" s="42" t="inlineStr">
        <is>
          <t>JAC</t>
        </is>
      </c>
      <c r="E28" s="44" t="n">
        <v>6600</v>
      </c>
      <c r="F28" s="38" t="n"/>
      <c r="G28" s="54" t="n">
        <v>-220</v>
      </c>
      <c r="H28" s="38" t="n"/>
      <c r="I28" s="54" t="n">
        <v>650</v>
      </c>
      <c r="J28" s="38" t="n"/>
      <c r="K28" s="45" t="n">
        <v>0.6875</v>
      </c>
      <c r="L28" s="45" t="n">
        <v>0.1333</v>
      </c>
      <c r="M28" s="45" t="n">
        <v>3.55</v>
      </c>
      <c r="N28" s="40" t="n">
        <v>15.9</v>
      </c>
      <c r="O28" s="40" t="n">
        <v>8.49</v>
      </c>
      <c r="P28" s="40" t="n">
        <v>1.29</v>
      </c>
      <c r="Q28" s="41" t="n">
        <v>0.0004</v>
      </c>
    </row>
    <row r="29">
      <c r="A29" s="35" t="n">
        <v>25</v>
      </c>
      <c r="B29" s="36" t="inlineStr">
        <is>
          <t>Josh Johnson</t>
        </is>
      </c>
      <c r="C29" s="35" t="inlineStr">
        <is>
          <t>CIN</t>
        </is>
      </c>
      <c r="D29" s="35" t="inlineStr">
        <is>
          <t>TEN</t>
        </is>
      </c>
      <c r="E29" s="37" t="n">
        <v>6000</v>
      </c>
      <c r="F29" s="46" t="n"/>
      <c r="G29" s="54" t="n">
        <v>-220</v>
      </c>
      <c r="H29" s="46" t="n"/>
      <c r="I29" s="47" t="n"/>
      <c r="J29" s="46" t="n"/>
      <c r="K29" s="39" t="n">
        <v>0.6875</v>
      </c>
      <c r="L29" s="39" t="n">
        <v>0</v>
      </c>
      <c r="M29" s="39" t="n">
        <v>2.75</v>
      </c>
      <c r="N29" s="40" t="n">
        <v>0</v>
      </c>
      <c r="O29" s="40" t="n">
        <v>2.75</v>
      </c>
      <c r="P29" s="40" t="n">
        <v>0.46</v>
      </c>
      <c r="Q29" s="41" t="n">
        <v>0</v>
      </c>
    </row>
    <row r="30">
      <c r="A30" s="42" t="n">
        <v>26</v>
      </c>
      <c r="B30" s="43" t="inlineStr">
        <is>
          <t>Carson Wentz</t>
        </is>
      </c>
      <c r="C30" s="42" t="inlineStr">
        <is>
          <t>MIN</t>
        </is>
      </c>
      <c r="D30" s="42" t="inlineStr">
        <is>
          <t>DET</t>
        </is>
      </c>
      <c r="E30" s="44" t="n">
        <v>6000</v>
      </c>
      <c r="F30" s="46" t="n"/>
      <c r="G30" s="54" t="n">
        <v>-220</v>
      </c>
      <c r="H30" s="46" t="n"/>
      <c r="I30" s="47" t="n"/>
      <c r="J30" s="46" t="n"/>
      <c r="K30" s="45" t="n">
        <v>0.6875</v>
      </c>
      <c r="L30" s="45" t="n">
        <v>0</v>
      </c>
      <c r="M30" s="45" t="n">
        <v>2.75</v>
      </c>
      <c r="N30" s="40" t="n">
        <v>0</v>
      </c>
      <c r="O30" s="40" t="n">
        <v>2.75</v>
      </c>
      <c r="P30" s="40" t="n">
        <v>0.46</v>
      </c>
      <c r="Q30" s="41" t="n">
        <v>0</v>
      </c>
    </row>
    <row r="31">
      <c r="A31" s="35" t="n">
        <v>27</v>
      </c>
      <c r="B31" s="36" t="inlineStr">
        <is>
          <t>Jalon Daniels</t>
        </is>
      </c>
      <c r="C31" s="35" t="inlineStr">
        <is>
          <t>TB</t>
        </is>
      </c>
      <c r="D31" s="35" t="inlineStr">
        <is>
          <t>ATL</t>
        </is>
      </c>
      <c r="E31" s="37" t="n">
        <v>6300</v>
      </c>
      <c r="F31" s="38" t="n"/>
      <c r="G31" s="54" t="n">
        <v>-220</v>
      </c>
      <c r="H31" s="38" t="n"/>
      <c r="I31" s="54" t="n"/>
      <c r="J31" s="38" t="n"/>
      <c r="K31" s="39" t="n">
        <v>0.6875</v>
      </c>
      <c r="L31" s="39" t="n">
        <v>0.1538</v>
      </c>
      <c r="M31" s="39" t="n">
        <v>2.75</v>
      </c>
      <c r="N31" s="40" t="n">
        <v>0</v>
      </c>
      <c r="O31" s="40" t="n">
        <v>2.75</v>
      </c>
      <c r="P31" s="40" t="n">
        <v>0.44</v>
      </c>
      <c r="Q31" s="41" t="n">
        <v>0</v>
      </c>
    </row>
    <row r="32">
      <c r="A32" s="35" t="n">
        <v>28</v>
      </c>
      <c r="B32" s="36" t="inlineStr">
        <is>
          <t>Dillon Gabriel</t>
        </is>
      </c>
      <c r="C32" s="35" t="inlineStr">
        <is>
          <t>CLE</t>
        </is>
      </c>
      <c r="D32" s="35" t="inlineStr">
        <is>
          <t>PIT</t>
        </is>
      </c>
      <c r="E32" s="37" t="n">
        <v>6000</v>
      </c>
      <c r="F32" s="46" t="n"/>
      <c r="G32" s="54" t="n">
        <v>-220</v>
      </c>
      <c r="H32" s="46" t="n"/>
      <c r="I32" s="47" t="n"/>
      <c r="J32" s="46" t="n"/>
      <c r="K32" s="39" t="n">
        <v>0.6875</v>
      </c>
      <c r="L32" s="39" t="n">
        <v>0</v>
      </c>
      <c r="M32" s="39" t="n">
        <v>2.75</v>
      </c>
      <c r="N32" s="40" t="n">
        <v>0</v>
      </c>
      <c r="O32" s="40" t="n">
        <v>2.75</v>
      </c>
      <c r="P32" s="40" t="n">
        <v>0.46</v>
      </c>
      <c r="Q32" s="41" t="n">
        <v>0</v>
      </c>
    </row>
    <row r="33">
      <c r="A33" s="35" t="n">
        <v>29</v>
      </c>
      <c r="B33" s="36" t="inlineStr">
        <is>
          <t>Shane Buechele</t>
        </is>
      </c>
      <c r="C33" s="35" t="inlineStr">
        <is>
          <t>BUF</t>
        </is>
      </c>
      <c r="D33" s="35" t="inlineStr">
        <is>
          <t>BAL</t>
        </is>
      </c>
      <c r="E33" s="37" t="n">
        <v>6000</v>
      </c>
      <c r="F33" s="46" t="n"/>
      <c r="G33" s="54" t="n">
        <v>-220</v>
      </c>
      <c r="H33" s="46" t="n"/>
      <c r="I33" s="47" t="n"/>
      <c r="J33" s="46" t="n"/>
      <c r="K33" s="39" t="n">
        <v>0.6875</v>
      </c>
      <c r="L33" s="39" t="n">
        <v>0</v>
      </c>
      <c r="M33" s="39" t="n">
        <v>2.75</v>
      </c>
      <c r="N33" s="40" t="n">
        <v>0</v>
      </c>
      <c r="O33" s="40" t="n">
        <v>2.75</v>
      </c>
      <c r="P33" s="40" t="n">
        <v>0.46</v>
      </c>
      <c r="Q33" s="41" t="n">
        <v>0</v>
      </c>
    </row>
    <row r="34">
      <c r="A34" s="42" t="n">
        <v>30</v>
      </c>
      <c r="B34" s="43" t="inlineStr">
        <is>
          <t>Tommy DeVito</t>
        </is>
      </c>
      <c r="C34" s="42" t="inlineStr">
        <is>
          <t>NE</t>
        </is>
      </c>
      <c r="D34" s="42" t="inlineStr">
        <is>
          <t>MIA</t>
        </is>
      </c>
      <c r="E34" s="44" t="n">
        <v>6000</v>
      </c>
      <c r="F34" s="46" t="n"/>
      <c r="G34" s="54" t="n">
        <v>-220</v>
      </c>
      <c r="H34" s="46" t="n"/>
      <c r="I34" s="47" t="n"/>
      <c r="J34" s="46" t="n"/>
      <c r="K34" s="45" t="n">
        <v>0.6875</v>
      </c>
      <c r="L34" s="45" t="n">
        <v>0</v>
      </c>
      <c r="M34" s="45" t="n">
        <v>2.75</v>
      </c>
      <c r="N34" s="40" t="n">
        <v>0</v>
      </c>
      <c r="O34" s="40" t="n">
        <v>2.75</v>
      </c>
      <c r="P34" s="40" t="n">
        <v>0.46</v>
      </c>
      <c r="Q34" s="41" t="n">
        <v>0</v>
      </c>
    </row>
    <row r="35">
      <c r="A35" s="35" t="n">
        <v>31</v>
      </c>
      <c r="B35" s="36" t="inlineStr">
        <is>
          <t>Max Brosmer</t>
        </is>
      </c>
      <c r="C35" s="35" t="inlineStr">
        <is>
          <t>MIN</t>
        </is>
      </c>
      <c r="D35" s="35" t="inlineStr">
        <is>
          <t>DET</t>
        </is>
      </c>
      <c r="E35" s="37" t="n">
        <v>6000</v>
      </c>
      <c r="F35" s="46" t="n"/>
      <c r="G35" s="54" t="n">
        <v>-220</v>
      </c>
      <c r="H35" s="46" t="n"/>
      <c r="I35" s="47" t="n"/>
      <c r="J35" s="46" t="n"/>
      <c r="K35" s="39" t="n">
        <v>0.6875</v>
      </c>
      <c r="L35" s="39" t="n">
        <v>0</v>
      </c>
      <c r="M35" s="39" t="n">
        <v>2.75</v>
      </c>
      <c r="N35" s="40" t="n">
        <v>0</v>
      </c>
      <c r="O35" s="40" t="n">
        <v>2.75</v>
      </c>
      <c r="P35" s="40" t="n">
        <v>0.46</v>
      </c>
      <c r="Q35" s="41" t="n">
        <v>0</v>
      </c>
    </row>
    <row r="36">
      <c r="A36" s="35" t="n">
        <v>32</v>
      </c>
      <c r="B36" s="36" t="inlineStr">
        <is>
          <t>Fernando Mendoza</t>
        </is>
      </c>
      <c r="C36" s="35" t="inlineStr">
        <is>
          <t>LV</t>
        </is>
      </c>
      <c r="D36" s="35" t="inlineStr">
        <is>
          <t>NYJ</t>
        </is>
      </c>
      <c r="E36" s="37" t="n">
        <v>6400</v>
      </c>
      <c r="F36" s="46" t="n"/>
      <c r="G36" s="54" t="n">
        <v>-220</v>
      </c>
      <c r="H36" s="46" t="n"/>
      <c r="I36" s="47" t="n"/>
      <c r="J36" s="46" t="n"/>
      <c r="K36" s="39" t="n">
        <v>0.6875</v>
      </c>
      <c r="L36" s="39" t="n">
        <v>0</v>
      </c>
      <c r="M36" s="39" t="n">
        <v>2.75</v>
      </c>
      <c r="N36" s="40" t="n">
        <v>0</v>
      </c>
      <c r="O36" s="40" t="n">
        <v>2.75</v>
      </c>
      <c r="P36" s="40" t="n">
        <v>0.43</v>
      </c>
      <c r="Q36" s="41" t="n">
        <v>0</v>
      </c>
    </row>
    <row r="37">
      <c r="A37" s="42" t="n">
        <v>33</v>
      </c>
      <c r="B37" s="43" t="inlineStr">
        <is>
          <t>Stetson Bennett IV</t>
        </is>
      </c>
      <c r="C37" s="42" t="inlineStr">
        <is>
          <t>LAR</t>
        </is>
      </c>
      <c r="D37" s="42" t="inlineStr">
        <is>
          <t>LAC</t>
        </is>
      </c>
      <c r="E37" s="44" t="n">
        <v>6000</v>
      </c>
      <c r="F37" s="46" t="n"/>
      <c r="G37" s="54" t="n">
        <v>-220</v>
      </c>
      <c r="H37" s="46" t="n"/>
      <c r="I37" s="47" t="n"/>
      <c r="J37" s="46" t="n"/>
      <c r="K37" s="45" t="n">
        <v>0.6875</v>
      </c>
      <c r="L37" s="45" t="n">
        <v>0</v>
      </c>
      <c r="M37" s="45" t="n">
        <v>2.75</v>
      </c>
      <c r="N37" s="40" t="n">
        <v>0</v>
      </c>
      <c r="O37" s="40" t="n">
        <v>2.75</v>
      </c>
      <c r="P37" s="40" t="n">
        <v>0.46</v>
      </c>
      <c r="Q37" s="41" t="n">
        <v>0</v>
      </c>
    </row>
    <row r="38">
      <c r="A38" s="35" t="n">
        <v>34</v>
      </c>
      <c r="B38" s="36" t="inlineStr">
        <is>
          <t>Jack Strand</t>
        </is>
      </c>
      <c r="C38" s="35" t="inlineStr">
        <is>
          <t>ATL</t>
        </is>
      </c>
      <c r="D38" s="35" t="inlineStr">
        <is>
          <t>TB</t>
        </is>
      </c>
      <c r="E38" s="37" t="n">
        <v>6000</v>
      </c>
      <c r="F38" s="46" t="n"/>
      <c r="G38" s="54" t="n">
        <v>-220</v>
      </c>
      <c r="H38" s="46" t="n"/>
      <c r="I38" s="47" t="n"/>
      <c r="J38" s="46" t="n"/>
      <c r="K38" s="39" t="n">
        <v>0.6875</v>
      </c>
      <c r="L38" s="39" t="n">
        <v>0</v>
      </c>
      <c r="M38" s="39" t="n">
        <v>2.75</v>
      </c>
      <c r="N38" s="40" t="n">
        <v>0</v>
      </c>
      <c r="O38" s="40" t="n">
        <v>2.75</v>
      </c>
      <c r="P38" s="40" t="n">
        <v>0.46</v>
      </c>
      <c r="Q38" s="41" t="n">
        <v>0</v>
      </c>
    </row>
    <row r="39">
      <c r="A39" s="35" t="n">
        <v>35</v>
      </c>
      <c r="B39" s="36" t="inlineStr">
        <is>
          <t>Tua Tagovailoa</t>
        </is>
      </c>
      <c r="C39" s="35" t="inlineStr">
        <is>
          <t>ATL</t>
        </is>
      </c>
      <c r="D39" s="35" t="inlineStr">
        <is>
          <t>TB</t>
        </is>
      </c>
      <c r="E39" s="37" t="n">
        <v>6200</v>
      </c>
      <c r="F39" s="46" t="n"/>
      <c r="G39" s="54" t="n">
        <v>-220</v>
      </c>
      <c r="H39" s="38" t="n"/>
      <c r="I39" s="54" t="n"/>
      <c r="J39" s="46" t="n"/>
      <c r="K39" s="39" t="n">
        <v>0.6875</v>
      </c>
      <c r="L39" s="39" t="n">
        <v>0.0833</v>
      </c>
      <c r="M39" s="39" t="n">
        <v>2.75</v>
      </c>
      <c r="N39" s="40" t="n">
        <v>0</v>
      </c>
      <c r="O39" s="40" t="n">
        <v>2.75</v>
      </c>
      <c r="P39" s="40" t="n">
        <v>0.44</v>
      </c>
      <c r="Q39" s="41" t="n">
        <v>0</v>
      </c>
    </row>
    <row r="40">
      <c r="A40" s="42" t="n">
        <v>36</v>
      </c>
      <c r="B40" s="43" t="inlineStr">
        <is>
          <t>Mason Rudolph</t>
        </is>
      </c>
      <c r="C40" s="42" t="inlineStr">
        <is>
          <t>PIT</t>
        </is>
      </c>
      <c r="D40" s="42" t="inlineStr">
        <is>
          <t>CLE</t>
        </is>
      </c>
      <c r="E40" s="44" t="n">
        <v>6000</v>
      </c>
      <c r="F40" s="46" t="n"/>
      <c r="G40" s="54" t="n">
        <v>-220</v>
      </c>
      <c r="H40" s="46" t="n"/>
      <c r="I40" s="47" t="n"/>
      <c r="J40" s="46" t="n"/>
      <c r="K40" s="45" t="n">
        <v>0.6875</v>
      </c>
      <c r="L40" s="45" t="n">
        <v>0</v>
      </c>
      <c r="M40" s="45" t="n">
        <v>2.75</v>
      </c>
      <c r="N40" s="40" t="n">
        <v>0</v>
      </c>
      <c r="O40" s="40" t="n">
        <v>2.75</v>
      </c>
      <c r="P40" s="40" t="n">
        <v>0.46</v>
      </c>
      <c r="Q40" s="41" t="n">
        <v>0</v>
      </c>
    </row>
    <row r="41">
      <c r="A41" s="35" t="n">
        <v>37</v>
      </c>
      <c r="B41" s="36" t="inlineStr">
        <is>
          <t>Garrett Nussmeier</t>
        </is>
      </c>
      <c r="C41" s="35" t="inlineStr">
        <is>
          <t>KC</t>
        </is>
      </c>
      <c r="D41" s="35" t="inlineStr">
        <is>
          <t>DEN</t>
        </is>
      </c>
      <c r="E41" s="37" t="n">
        <v>6000</v>
      </c>
      <c r="F41" s="46" t="n"/>
      <c r="G41" s="54" t="n">
        <v>-220</v>
      </c>
      <c r="H41" s="46" t="n"/>
      <c r="I41" s="47" t="n"/>
      <c r="J41" s="46" t="n"/>
      <c r="K41" s="39" t="n">
        <v>0.6875</v>
      </c>
      <c r="L41" s="39" t="n">
        <v>0</v>
      </c>
      <c r="M41" s="39" t="n">
        <v>2.75</v>
      </c>
      <c r="N41" s="40" t="n">
        <v>0</v>
      </c>
      <c r="O41" s="40" t="n">
        <v>2.75</v>
      </c>
      <c r="P41" s="40" t="n">
        <v>0.46</v>
      </c>
      <c r="Q41" s="41" t="n">
        <v>0</v>
      </c>
    </row>
    <row r="42">
      <c r="A42" s="35" t="n">
        <v>38</v>
      </c>
      <c r="B42" s="36" t="inlineStr">
        <is>
          <t>Aidan O'Connell</t>
        </is>
      </c>
      <c r="C42" s="35" t="inlineStr">
        <is>
          <t>LV</t>
        </is>
      </c>
      <c r="D42" s="35" t="inlineStr">
        <is>
          <t>NYJ</t>
        </is>
      </c>
      <c r="E42" s="37" t="n">
        <v>6000</v>
      </c>
      <c r="F42" s="46" t="n"/>
      <c r="G42" s="54" t="n">
        <v>-220</v>
      </c>
      <c r="H42" s="46" t="n"/>
      <c r="I42" s="47" t="n"/>
      <c r="J42" s="46" t="n"/>
      <c r="K42" s="39" t="n">
        <v>0.6875</v>
      </c>
      <c r="L42" s="39" t="n">
        <v>0</v>
      </c>
      <c r="M42" s="39" t="n">
        <v>2.75</v>
      </c>
      <c r="N42" s="40" t="n">
        <v>0</v>
      </c>
      <c r="O42" s="40" t="n">
        <v>2.75</v>
      </c>
      <c r="P42" s="40" t="n">
        <v>0.46</v>
      </c>
      <c r="Q42" s="41" t="n">
        <v>0</v>
      </c>
    </row>
    <row r="43">
      <c r="A43" s="42" t="n">
        <v>39</v>
      </c>
      <c r="B43" s="43" t="inlineStr">
        <is>
          <t>Kyle McCord</t>
        </is>
      </c>
      <c r="C43" s="42" t="inlineStr">
        <is>
          <t>MIA</t>
        </is>
      </c>
      <c r="D43" s="42" t="inlineStr">
        <is>
          <t>NE</t>
        </is>
      </c>
      <c r="E43" s="44" t="n">
        <v>6000</v>
      </c>
      <c r="F43" s="46" t="n"/>
      <c r="G43" s="54" t="n">
        <v>-220</v>
      </c>
      <c r="H43" s="46" t="n"/>
      <c r="I43" s="47" t="n"/>
      <c r="J43" s="46" t="n"/>
      <c r="K43" s="45" t="n">
        <v>0.6875</v>
      </c>
      <c r="L43" s="45" t="n">
        <v>0</v>
      </c>
      <c r="M43" s="45" t="n">
        <v>2.75</v>
      </c>
      <c r="N43" s="40" t="n">
        <v>0</v>
      </c>
      <c r="O43" s="40" t="n">
        <v>2.75</v>
      </c>
      <c r="P43" s="40" t="n">
        <v>0.46</v>
      </c>
      <c r="Q43" s="41" t="n">
        <v>0</v>
      </c>
    </row>
    <row r="44">
      <c r="A44" s="42" t="n">
        <v>40</v>
      </c>
      <c r="B44" s="43" t="inlineStr">
        <is>
          <t>Sam Howell</t>
        </is>
      </c>
      <c r="C44" s="42" t="inlineStr">
        <is>
          <t>DAL</t>
        </is>
      </c>
      <c r="D44" s="42" t="inlineStr">
        <is>
          <t>ARI</t>
        </is>
      </c>
      <c r="E44" s="44" t="n">
        <v>6000</v>
      </c>
      <c r="F44" s="46" t="n"/>
      <c r="G44" s="54" t="n">
        <v>-220</v>
      </c>
      <c r="H44" s="46" t="n"/>
      <c r="I44" s="47" t="n"/>
      <c r="J44" s="46" t="n"/>
      <c r="K44" s="45" t="n">
        <v>0.6875</v>
      </c>
      <c r="L44" s="45" t="n">
        <v>0</v>
      </c>
      <c r="M44" s="45" t="n">
        <v>2.75</v>
      </c>
      <c r="N44" s="40" t="n">
        <v>0</v>
      </c>
      <c r="O44" s="40" t="n">
        <v>2.75</v>
      </c>
      <c r="P44" s="40" t="n">
        <v>0.46</v>
      </c>
      <c r="Q44" s="41" t="n">
        <v>0</v>
      </c>
    </row>
    <row r="45">
      <c r="A45" s="42" t="n">
        <v>41</v>
      </c>
      <c r="B45" s="43" t="inlineStr">
        <is>
          <t>Trey Lance</t>
        </is>
      </c>
      <c r="C45" s="42" t="inlineStr">
        <is>
          <t>LAC</t>
        </is>
      </c>
      <c r="D45" s="42" t="inlineStr">
        <is>
          <t>LAR</t>
        </is>
      </c>
      <c r="E45" s="44" t="n">
        <v>6000</v>
      </c>
      <c r="F45" s="46" t="n"/>
      <c r="G45" s="54" t="n">
        <v>-220</v>
      </c>
      <c r="H45" s="46" t="n"/>
      <c r="I45" s="47" t="n"/>
      <c r="J45" s="46" t="n"/>
      <c r="K45" s="45" t="n">
        <v>0.6875</v>
      </c>
      <c r="L45" s="45" t="n">
        <v>0</v>
      </c>
      <c r="M45" s="45" t="n">
        <v>2.75</v>
      </c>
      <c r="N45" s="40" t="n">
        <v>0</v>
      </c>
      <c r="O45" s="40" t="n">
        <v>2.75</v>
      </c>
      <c r="P45" s="40" t="n">
        <v>0.46</v>
      </c>
      <c r="Q45" s="41" t="n">
        <v>0</v>
      </c>
    </row>
    <row r="46">
      <c r="A46" s="42" t="n">
        <v>42</v>
      </c>
      <c r="B46" s="43" t="inlineStr">
        <is>
          <t>Quinn Ewers</t>
        </is>
      </c>
      <c r="C46" s="42" t="inlineStr">
        <is>
          <t>JAC</t>
        </is>
      </c>
      <c r="D46" s="42" t="inlineStr">
        <is>
          <t>IND</t>
        </is>
      </c>
      <c r="E46" s="44" t="n">
        <v>6000</v>
      </c>
      <c r="F46" s="46" t="n"/>
      <c r="G46" s="54" t="n">
        <v>-220</v>
      </c>
      <c r="H46" s="46" t="n"/>
      <c r="I46" s="47" t="n"/>
      <c r="J46" s="46" t="n"/>
      <c r="K46" s="45" t="n">
        <v>0.6875</v>
      </c>
      <c r="L46" s="45" t="n">
        <v>0</v>
      </c>
      <c r="M46" s="45" t="n">
        <v>2.75</v>
      </c>
      <c r="N46" s="40" t="n">
        <v>0</v>
      </c>
      <c r="O46" s="40" t="n">
        <v>2.75</v>
      </c>
      <c r="P46" s="40" t="n">
        <v>0.46</v>
      </c>
      <c r="Q46" s="41" t="n">
        <v>0</v>
      </c>
    </row>
    <row r="47">
      <c r="A47" s="42" t="n">
        <v>43</v>
      </c>
      <c r="B47" s="43" t="inlineStr">
        <is>
          <t>Cade Klubnik</t>
        </is>
      </c>
      <c r="C47" s="42" t="inlineStr">
        <is>
          <t>NYJ</t>
        </is>
      </c>
      <c r="D47" s="42" t="inlineStr">
        <is>
          <t>LV</t>
        </is>
      </c>
      <c r="E47" s="44" t="n">
        <v>6000</v>
      </c>
      <c r="F47" s="46" t="n"/>
      <c r="G47" s="54" t="n">
        <v>-220</v>
      </c>
      <c r="H47" s="46" t="n"/>
      <c r="I47" s="47" t="n"/>
      <c r="J47" s="46" t="n"/>
      <c r="K47" s="45" t="n">
        <v>0.6875</v>
      </c>
      <c r="L47" s="45" t="n">
        <v>0</v>
      </c>
      <c r="M47" s="45" t="n">
        <v>2.75</v>
      </c>
      <c r="N47" s="40" t="n">
        <v>0</v>
      </c>
      <c r="O47" s="40" t="n">
        <v>2.75</v>
      </c>
      <c r="P47" s="40" t="n">
        <v>0.46</v>
      </c>
      <c r="Q47" s="41" t="n">
        <v>0</v>
      </c>
    </row>
    <row r="48">
      <c r="A48" s="42" t="n">
        <v>44</v>
      </c>
      <c r="B48" s="43" t="inlineStr">
        <is>
          <t>Sam Ehlinger</t>
        </is>
      </c>
      <c r="C48" s="42" t="inlineStr">
        <is>
          <t>DEN</t>
        </is>
      </c>
      <c r="D48" s="42" t="inlineStr">
        <is>
          <t>KC</t>
        </is>
      </c>
      <c r="E48" s="44" t="n">
        <v>6000</v>
      </c>
      <c r="F48" s="46" t="n"/>
      <c r="G48" s="54" t="n">
        <v>-220</v>
      </c>
      <c r="H48" s="46" t="n"/>
      <c r="I48" s="47" t="n"/>
      <c r="J48" s="46" t="n"/>
      <c r="K48" s="45" t="n">
        <v>0.6875</v>
      </c>
      <c r="L48" s="45" t="n">
        <v>0</v>
      </c>
      <c r="M48" s="45" t="n">
        <v>2.75</v>
      </c>
      <c r="N48" s="40" t="n">
        <v>0</v>
      </c>
      <c r="O48" s="40" t="n">
        <v>2.75</v>
      </c>
      <c r="P48" s="40" t="n">
        <v>0.46</v>
      </c>
      <c r="Q48" s="41" t="n">
        <v>0</v>
      </c>
    </row>
    <row r="49">
      <c r="A49" s="42" t="n">
        <v>45</v>
      </c>
      <c r="B49" s="43" t="inlineStr">
        <is>
          <t>Gardner Minshew II</t>
        </is>
      </c>
      <c r="C49" s="42" t="inlineStr">
        <is>
          <t>ARI</t>
        </is>
      </c>
      <c r="D49" s="42" t="inlineStr">
        <is>
          <t>DAL</t>
        </is>
      </c>
      <c r="E49" s="44" t="n">
        <v>6000</v>
      </c>
      <c r="F49" s="46" t="n"/>
      <c r="G49" s="54" t="n">
        <v>-220</v>
      </c>
      <c r="H49" s="46" t="n"/>
      <c r="I49" s="47" t="n"/>
      <c r="J49" s="46" t="n"/>
      <c r="K49" s="45" t="n">
        <v>0.6875</v>
      </c>
      <c r="L49" s="45" t="n">
        <v>0</v>
      </c>
      <c r="M49" s="45" t="n">
        <v>2.75</v>
      </c>
      <c r="N49" s="40" t="n">
        <v>0</v>
      </c>
      <c r="O49" s="40" t="n">
        <v>2.75</v>
      </c>
      <c r="P49" s="40" t="n">
        <v>0.46</v>
      </c>
      <c r="Q49" s="41" t="n">
        <v>0</v>
      </c>
    </row>
    <row r="50">
      <c r="A50" s="50" t="n">
        <v>46</v>
      </c>
      <c r="B50" s="51" t="inlineStr">
        <is>
          <t>Justin Fields</t>
        </is>
      </c>
      <c r="C50" s="50" t="inlineStr">
        <is>
          <t>KC</t>
        </is>
      </c>
      <c r="D50" s="50" t="inlineStr">
        <is>
          <t>DEN</t>
        </is>
      </c>
      <c r="E50" s="52" t="n">
        <v>6000</v>
      </c>
      <c r="F50" s="53" t="n"/>
      <c r="G50" s="55" t="n">
        <v>-220</v>
      </c>
      <c r="H50" s="53" t="n"/>
      <c r="I50" s="53" t="n"/>
      <c r="J50" s="53" t="n"/>
      <c r="K50" s="40" t="n">
        <v>0.6875</v>
      </c>
      <c r="L50" s="40" t="n">
        <v>0</v>
      </c>
      <c r="M50" s="40" t="n">
        <v>2.75</v>
      </c>
      <c r="N50" s="40" t="n">
        <v>0</v>
      </c>
      <c r="O50" s="40" t="n">
        <v>2.75</v>
      </c>
      <c r="P50" s="40" t="n">
        <v>0.46</v>
      </c>
      <c r="Q50" s="41" t="n">
        <v>0</v>
      </c>
    </row>
    <row r="51">
      <c r="A51" s="50" t="n">
        <v>47</v>
      </c>
      <c r="B51" s="51" t="inlineStr">
        <is>
          <t>Joshua Dobbs</t>
        </is>
      </c>
      <c r="C51" s="50" t="inlineStr">
        <is>
          <t>DET</t>
        </is>
      </c>
      <c r="D51" s="50" t="inlineStr">
        <is>
          <t>MIN</t>
        </is>
      </c>
      <c r="E51" s="52" t="n">
        <v>6000</v>
      </c>
      <c r="F51" s="53" t="n"/>
      <c r="G51" s="55" t="n">
        <v>-220</v>
      </c>
      <c r="H51" s="53" t="n"/>
      <c r="I51" s="53" t="n"/>
      <c r="J51" s="53" t="n"/>
      <c r="K51" s="40" t="n">
        <v>0.6875</v>
      </c>
      <c r="L51" s="40" t="n">
        <v>0</v>
      </c>
      <c r="M51" s="40" t="n">
        <v>2.75</v>
      </c>
      <c r="N51" s="40" t="n">
        <v>0</v>
      </c>
      <c r="O51" s="40" t="n">
        <v>2.75</v>
      </c>
      <c r="P51" s="40" t="n">
        <v>0.46</v>
      </c>
      <c r="Q51" s="41" t="n">
        <v>0</v>
      </c>
    </row>
    <row r="52">
      <c r="A52" s="50" t="n">
        <v>48</v>
      </c>
      <c r="B52" s="51" t="inlineStr">
        <is>
          <t>Will Howard</t>
        </is>
      </c>
      <c r="C52" s="50" t="inlineStr">
        <is>
          <t>PIT</t>
        </is>
      </c>
      <c r="D52" s="50" t="inlineStr">
        <is>
          <t>CLE</t>
        </is>
      </c>
      <c r="E52" s="52" t="n">
        <v>6000</v>
      </c>
      <c r="F52" s="53" t="n"/>
      <c r="G52" s="55" t="n">
        <v>-220</v>
      </c>
      <c r="H52" s="53" t="n"/>
      <c r="I52" s="53" t="n"/>
      <c r="J52" s="53" t="n"/>
      <c r="K52" s="40" t="n">
        <v>0.6875</v>
      </c>
      <c r="L52" s="40" t="n">
        <v>0</v>
      </c>
      <c r="M52" s="40" t="n">
        <v>2.75</v>
      </c>
      <c r="N52" s="40" t="n">
        <v>0</v>
      </c>
      <c r="O52" s="40" t="n">
        <v>2.75</v>
      </c>
      <c r="P52" s="40" t="n">
        <v>0.46</v>
      </c>
      <c r="Q52" s="41" t="n">
        <v>0</v>
      </c>
    </row>
    <row r="53">
      <c r="A53" s="50" t="n">
        <v>49</v>
      </c>
      <c r="B53" s="51" t="inlineStr">
        <is>
          <t>Anthony Richardson Sr.</t>
        </is>
      </c>
      <c r="C53" s="50" t="inlineStr">
        <is>
          <t>IND</t>
        </is>
      </c>
      <c r="D53" s="50" t="inlineStr">
        <is>
          <t>JAC</t>
        </is>
      </c>
      <c r="E53" s="52" t="n">
        <v>6000</v>
      </c>
      <c r="F53" s="40" t="n"/>
      <c r="G53" s="55" t="n">
        <v>-220</v>
      </c>
      <c r="H53" s="53" t="n"/>
      <c r="I53" s="55" t="n"/>
      <c r="J53" s="53" t="n"/>
      <c r="K53" s="40" t="n">
        <v>0.6875</v>
      </c>
      <c r="L53" s="40" t="n">
        <v>0.1429</v>
      </c>
      <c r="M53" s="40" t="n">
        <v>2.75</v>
      </c>
      <c r="N53" s="40" t="n">
        <v>0</v>
      </c>
      <c r="O53" s="40" t="n">
        <v>2.75</v>
      </c>
      <c r="P53" s="40" t="n">
        <v>0.46</v>
      </c>
      <c r="Q53" s="41" t="n">
        <v>0</v>
      </c>
    </row>
    <row r="54">
      <c r="A54" s="50" t="n">
        <v>50</v>
      </c>
      <c r="B54" s="51" t="inlineStr">
        <is>
          <t>Taylen Green</t>
        </is>
      </c>
      <c r="C54" s="50" t="inlineStr">
        <is>
          <t>CLE</t>
        </is>
      </c>
      <c r="D54" s="50" t="inlineStr">
        <is>
          <t>PIT</t>
        </is>
      </c>
      <c r="E54" s="52" t="n">
        <v>6000</v>
      </c>
      <c r="F54" s="53" t="n"/>
      <c r="G54" s="55" t="n">
        <v>-220</v>
      </c>
      <c r="H54" s="53" t="n"/>
      <c r="I54" s="53" t="n"/>
      <c r="J54" s="53" t="n"/>
      <c r="K54" s="40" t="n">
        <v>0.6875</v>
      </c>
      <c r="L54" s="40" t="n">
        <v>0</v>
      </c>
      <c r="M54" s="40" t="n">
        <v>2.75</v>
      </c>
      <c r="N54" s="40" t="n">
        <v>0</v>
      </c>
      <c r="O54" s="40" t="n">
        <v>2.75</v>
      </c>
      <c r="P54" s="40" t="n">
        <v>0.46</v>
      </c>
      <c r="Q54" s="41" t="n">
        <v>0</v>
      </c>
    </row>
    <row r="55">
      <c r="A55" s="50" t="n">
        <v>51</v>
      </c>
      <c r="B55" s="51" t="inlineStr">
        <is>
          <t>Joe Flacco</t>
        </is>
      </c>
      <c r="C55" s="50" t="inlineStr">
        <is>
          <t>CIN</t>
        </is>
      </c>
      <c r="D55" s="50" t="inlineStr">
        <is>
          <t>TEN</t>
        </is>
      </c>
      <c r="E55" s="52" t="n">
        <v>6000</v>
      </c>
      <c r="F55" s="53" t="n"/>
      <c r="G55" s="55" t="n">
        <v>-220</v>
      </c>
      <c r="H55" s="53" t="n"/>
      <c r="I55" s="53" t="n"/>
      <c r="J55" s="53" t="n"/>
      <c r="K55" s="40" t="n">
        <v>0.6875</v>
      </c>
      <c r="L55" s="40" t="n">
        <v>0</v>
      </c>
      <c r="M55" s="40" t="n">
        <v>2.75</v>
      </c>
      <c r="N55" s="40" t="n">
        <v>0</v>
      </c>
      <c r="O55" s="40" t="n">
        <v>2.75</v>
      </c>
      <c r="P55" s="40" t="n">
        <v>0.46</v>
      </c>
      <c r="Q55" s="41" t="n">
        <v>0</v>
      </c>
    </row>
    <row r="56">
      <c r="A56" s="50" t="n">
        <v>52</v>
      </c>
      <c r="B56" s="51" t="inlineStr">
        <is>
          <t>Jarrett Stidham</t>
        </is>
      </c>
      <c r="C56" s="50" t="inlineStr">
        <is>
          <t>DEN</t>
        </is>
      </c>
      <c r="D56" s="50" t="inlineStr">
        <is>
          <t>KC</t>
        </is>
      </c>
      <c r="E56" s="52" t="n">
        <v>6000</v>
      </c>
      <c r="F56" s="53" t="n"/>
      <c r="G56" s="55" t="n">
        <v>-220</v>
      </c>
      <c r="H56" s="53" t="n"/>
      <c r="I56" s="53" t="n"/>
      <c r="J56" s="53" t="n"/>
      <c r="K56" s="40" t="n">
        <v>0.6875</v>
      </c>
      <c r="L56" s="40" t="n">
        <v>0</v>
      </c>
      <c r="M56" s="40" t="n">
        <v>2.75</v>
      </c>
      <c r="N56" s="40" t="n">
        <v>0</v>
      </c>
      <c r="O56" s="40" t="n">
        <v>2.75</v>
      </c>
      <c r="P56" s="40" t="n">
        <v>0.46</v>
      </c>
      <c r="Q56" s="41" t="n">
        <v>0</v>
      </c>
    </row>
    <row r="57">
      <c r="A57" s="50" t="n">
        <v>53</v>
      </c>
      <c r="B57" s="51" t="inlineStr">
        <is>
          <t>Behren Morton</t>
        </is>
      </c>
      <c r="C57" s="50" t="inlineStr">
        <is>
          <t>NE</t>
        </is>
      </c>
      <c r="D57" s="50" t="inlineStr">
        <is>
          <t>MIA</t>
        </is>
      </c>
      <c r="E57" s="52" t="n">
        <v>6000</v>
      </c>
      <c r="F57" s="53" t="n"/>
      <c r="G57" s="55" t="n">
        <v>-220</v>
      </c>
      <c r="H57" s="53" t="n"/>
      <c r="I57" s="53" t="n"/>
      <c r="J57" s="53" t="n"/>
      <c r="K57" s="40" t="n">
        <v>0.6875</v>
      </c>
      <c r="L57" s="40" t="n">
        <v>0</v>
      </c>
      <c r="M57" s="40" t="n">
        <v>2.75</v>
      </c>
      <c r="N57" s="40" t="n">
        <v>0</v>
      </c>
      <c r="O57" s="40" t="n">
        <v>2.75</v>
      </c>
      <c r="P57" s="40" t="n">
        <v>0.46</v>
      </c>
      <c r="Q57" s="41" t="n">
        <v>0</v>
      </c>
    </row>
    <row r="58">
      <c r="A58" s="50" t="n">
        <v>54</v>
      </c>
      <c r="B58" s="51" t="inlineStr">
        <is>
          <t>Mitchell Trubisky</t>
        </is>
      </c>
      <c r="C58" s="50" t="inlineStr">
        <is>
          <t>TEN</t>
        </is>
      </c>
      <c r="D58" s="50" t="inlineStr">
        <is>
          <t>CIN</t>
        </is>
      </c>
      <c r="E58" s="52" t="n">
        <v>6000</v>
      </c>
      <c r="F58" s="53" t="n"/>
      <c r="G58" s="55" t="n">
        <v>-220</v>
      </c>
      <c r="H58" s="53" t="n"/>
      <c r="I58" s="53" t="n"/>
      <c r="J58" s="53" t="n"/>
      <c r="K58" s="40" t="n">
        <v>0.6875</v>
      </c>
      <c r="L58" s="40" t="n">
        <v>0</v>
      </c>
      <c r="M58" s="40" t="n">
        <v>2.75</v>
      </c>
      <c r="N58" s="40" t="n">
        <v>0</v>
      </c>
      <c r="O58" s="40" t="n">
        <v>2.75</v>
      </c>
      <c r="P58" s="40" t="n">
        <v>0.46</v>
      </c>
      <c r="Q58" s="41" t="n">
        <v>0</v>
      </c>
    </row>
    <row r="59">
      <c r="A59" s="50" t="n">
        <v>55</v>
      </c>
      <c r="B59" s="51" t="inlineStr">
        <is>
          <t>Riley Leonard</t>
        </is>
      </c>
      <c r="C59" s="50" t="inlineStr">
        <is>
          <t>IND</t>
        </is>
      </c>
      <c r="D59" s="50" t="inlineStr">
        <is>
          <t>JAC</t>
        </is>
      </c>
      <c r="E59" s="52" t="n">
        <v>6000</v>
      </c>
      <c r="F59" s="53" t="n"/>
      <c r="G59" s="55" t="n">
        <v>-220</v>
      </c>
      <c r="H59" s="53" t="n"/>
      <c r="I59" s="53" t="n"/>
      <c r="J59" s="53" t="n"/>
      <c r="K59" s="40" t="n">
        <v>0.6875</v>
      </c>
      <c r="L59" s="40" t="n">
        <v>0</v>
      </c>
      <c r="M59" s="40" t="n">
        <v>2.75</v>
      </c>
      <c r="N59" s="40" t="n">
        <v>0</v>
      </c>
      <c r="O59" s="40" t="n">
        <v>2.75</v>
      </c>
      <c r="P59" s="40" t="n">
        <v>0.46</v>
      </c>
      <c r="Q59" s="41" t="n">
        <v>0</v>
      </c>
    </row>
    <row r="60">
      <c r="A60" s="50" t="n">
        <v>56</v>
      </c>
      <c r="B60" s="51" t="inlineStr">
        <is>
          <t>Brett Rypien</t>
        </is>
      </c>
      <c r="C60" s="50" t="inlineStr">
        <is>
          <t>TB</t>
        </is>
      </c>
      <c r="D60" s="50" t="inlineStr">
        <is>
          <t>ATL</t>
        </is>
      </c>
      <c r="E60" s="52" t="n">
        <v>6000</v>
      </c>
      <c r="F60" s="53" t="n"/>
      <c r="G60" s="55" t="n">
        <v>-220</v>
      </c>
      <c r="H60" s="53" t="n"/>
      <c r="I60" s="53" t="n"/>
      <c r="J60" s="53" t="n"/>
      <c r="K60" s="40" t="n">
        <v>0.6875</v>
      </c>
      <c r="L60" s="40" t="n">
        <v>0</v>
      </c>
      <c r="M60" s="40" t="n">
        <v>2.75</v>
      </c>
      <c r="N60" s="40" t="n">
        <v>0</v>
      </c>
      <c r="O60" s="40" t="n">
        <v>2.75</v>
      </c>
      <c r="P60" s="40" t="n">
        <v>0.46</v>
      </c>
      <c r="Q60" s="41" t="n">
        <v>0</v>
      </c>
    </row>
    <row r="61">
      <c r="A61" s="50" t="n">
        <v>57</v>
      </c>
      <c r="B61" s="51" t="inlineStr">
        <is>
          <t>Brady Cook</t>
        </is>
      </c>
      <c r="C61" s="50" t="inlineStr">
        <is>
          <t>MIA</t>
        </is>
      </c>
      <c r="D61" s="50" t="inlineStr">
        <is>
          <t>NE</t>
        </is>
      </c>
      <c r="E61" s="52" t="n">
        <v>6000</v>
      </c>
      <c r="F61" s="53" t="n"/>
      <c r="G61" s="55" t="n">
        <v>-220</v>
      </c>
      <c r="H61" s="53" t="n"/>
      <c r="I61" s="53" t="n"/>
      <c r="J61" s="53" t="n"/>
      <c r="K61" s="40" t="n">
        <v>0.6875</v>
      </c>
      <c r="L61" s="40" t="n">
        <v>0</v>
      </c>
      <c r="M61" s="40" t="n">
        <v>2.75</v>
      </c>
      <c r="N61" s="40" t="n">
        <v>0</v>
      </c>
      <c r="O61" s="40" t="n">
        <v>2.75</v>
      </c>
      <c r="P61" s="40" t="n">
        <v>0.46</v>
      </c>
      <c r="Q61" s="41" t="n">
        <v>0</v>
      </c>
    </row>
    <row r="62">
      <c r="A62" s="50" t="n">
        <v>58</v>
      </c>
      <c r="B62" s="51" t="inlineStr">
        <is>
          <t>Joe Fagnano</t>
        </is>
      </c>
      <c r="C62" s="50" t="inlineStr">
        <is>
          <t>BAL</t>
        </is>
      </c>
      <c r="D62" s="50" t="inlineStr">
        <is>
          <t>BUF</t>
        </is>
      </c>
      <c r="E62" s="52" t="n">
        <v>6000</v>
      </c>
      <c r="F62" s="53" t="n"/>
      <c r="G62" s="55" t="n">
        <v>-220</v>
      </c>
      <c r="H62" s="53" t="n"/>
      <c r="I62" s="53" t="n"/>
      <c r="J62" s="53" t="n"/>
      <c r="K62" s="40" t="n">
        <v>0.6875</v>
      </c>
      <c r="L62" s="40" t="n">
        <v>0</v>
      </c>
      <c r="M62" s="40" t="n">
        <v>2.75</v>
      </c>
      <c r="N62" s="40" t="n">
        <v>0</v>
      </c>
      <c r="O62" s="40" t="n">
        <v>2.75</v>
      </c>
      <c r="P62" s="40" t="n">
        <v>0.46</v>
      </c>
      <c r="Q62" s="41" t="n">
        <v>0</v>
      </c>
    </row>
    <row r="63">
      <c r="A63" s="50" t="n">
        <v>59</v>
      </c>
      <c r="B63" s="51" t="inlineStr">
        <is>
          <t>Ty Simpson</t>
        </is>
      </c>
      <c r="C63" s="50" t="inlineStr">
        <is>
          <t>LAR</t>
        </is>
      </c>
      <c r="D63" s="50" t="inlineStr">
        <is>
          <t>LAC</t>
        </is>
      </c>
      <c r="E63" s="52" t="n">
        <v>6000</v>
      </c>
      <c r="F63" s="53" t="n"/>
      <c r="G63" s="55" t="n">
        <v>-220</v>
      </c>
      <c r="H63" s="53" t="n"/>
      <c r="I63" s="53" t="n"/>
      <c r="J63" s="53" t="n"/>
      <c r="K63" s="40" t="n">
        <v>0.6875</v>
      </c>
      <c r="L63" s="40" t="n">
        <v>0</v>
      </c>
      <c r="M63" s="40" t="n">
        <v>2.75</v>
      </c>
      <c r="N63" s="40" t="n">
        <v>0</v>
      </c>
      <c r="O63" s="40" t="n">
        <v>2.75</v>
      </c>
      <c r="P63" s="40" t="n">
        <v>0.46</v>
      </c>
      <c r="Q63" s="41" t="n">
        <v>0</v>
      </c>
    </row>
    <row r="64">
      <c r="A64" s="50" t="n">
        <v>60</v>
      </c>
      <c r="B64" s="51" t="inlineStr">
        <is>
          <t>Kyle Allen</t>
        </is>
      </c>
      <c r="C64" s="50" t="inlineStr">
        <is>
          <t>BUF</t>
        </is>
      </c>
      <c r="D64" s="50" t="inlineStr">
        <is>
          <t>BAL</t>
        </is>
      </c>
      <c r="E64" s="52" t="n">
        <v>6000</v>
      </c>
      <c r="F64" s="53" t="n"/>
      <c r="G64" s="55" t="n">
        <v>-220</v>
      </c>
      <c r="H64" s="53" t="n"/>
      <c r="I64" s="53" t="n"/>
      <c r="J64" s="53" t="n"/>
      <c r="K64" s="40" t="n">
        <v>0.6875</v>
      </c>
      <c r="L64" s="40" t="n">
        <v>0</v>
      </c>
      <c r="M64" s="40" t="n">
        <v>2.75</v>
      </c>
      <c r="N64" s="40" t="n">
        <v>0</v>
      </c>
      <c r="O64" s="40" t="n">
        <v>2.75</v>
      </c>
      <c r="P64" s="40" t="n">
        <v>0.46</v>
      </c>
      <c r="Q64" s="41" t="n">
        <v>0</v>
      </c>
    </row>
    <row r="65">
      <c r="A65" s="50" t="n">
        <v>61</v>
      </c>
      <c r="B65" s="51" t="inlineStr">
        <is>
          <t>Carson Beck</t>
        </is>
      </c>
      <c r="C65" s="50" t="inlineStr">
        <is>
          <t>ARI</t>
        </is>
      </c>
      <c r="D65" s="50" t="inlineStr">
        <is>
          <t>DAL</t>
        </is>
      </c>
      <c r="E65" s="52" t="n">
        <v>6000</v>
      </c>
      <c r="F65" s="53" t="n"/>
      <c r="G65" s="55" t="n">
        <v>-220</v>
      </c>
      <c r="H65" s="53" t="n"/>
      <c r="I65" s="53" t="n"/>
      <c r="J65" s="53" t="n"/>
      <c r="K65" s="40" t="n">
        <v>0.6875</v>
      </c>
      <c r="L65" s="40" t="n">
        <v>0</v>
      </c>
      <c r="M65" s="40" t="n">
        <v>2.75</v>
      </c>
      <c r="N65" s="40" t="n">
        <v>0</v>
      </c>
      <c r="O65" s="40" t="n">
        <v>2.75</v>
      </c>
      <c r="P65" s="40" t="n">
        <v>0.46</v>
      </c>
      <c r="Q65" s="41" t="n">
        <v>0</v>
      </c>
    </row>
    <row r="66">
      <c r="A66" s="50" t="n">
        <v>62</v>
      </c>
      <c r="B66" s="51" t="inlineStr">
        <is>
          <t>Shedeur Sanders</t>
        </is>
      </c>
      <c r="C66" s="50" t="inlineStr">
        <is>
          <t>CLE</t>
        </is>
      </c>
      <c r="D66" s="50" t="inlineStr">
        <is>
          <t>PIT</t>
        </is>
      </c>
      <c r="E66" s="52" t="n">
        <v>6000</v>
      </c>
      <c r="F66" s="53" t="n"/>
      <c r="G66" s="55" t="n">
        <v>-220</v>
      </c>
      <c r="H66" s="53" t="n"/>
      <c r="I66" s="53" t="n"/>
      <c r="J66" s="53" t="n"/>
      <c r="K66" s="40" t="n">
        <v>0.6875</v>
      </c>
      <c r="L66" s="40" t="n">
        <v>0</v>
      </c>
      <c r="M66" s="40" t="n">
        <v>2.75</v>
      </c>
      <c r="N66" s="40" t="n">
        <v>0</v>
      </c>
      <c r="O66" s="40" t="n">
        <v>2.75</v>
      </c>
      <c r="P66" s="40" t="n">
        <v>0.46</v>
      </c>
      <c r="Q66" s="41" t="n">
        <v>0</v>
      </c>
    </row>
    <row r="67">
      <c r="A67" s="50" t="n">
        <v>63</v>
      </c>
      <c r="B67" s="51" t="inlineStr">
        <is>
          <t>DJ Uiagalelei</t>
        </is>
      </c>
      <c r="C67" s="50" t="inlineStr">
        <is>
          <t>LAC</t>
        </is>
      </c>
      <c r="D67" s="50" t="inlineStr">
        <is>
          <t>LAR</t>
        </is>
      </c>
      <c r="E67" s="52" t="n">
        <v>6000</v>
      </c>
      <c r="F67" s="53" t="n"/>
      <c r="G67" s="55" t="n">
        <v>-220</v>
      </c>
      <c r="H67" s="53" t="n"/>
      <c r="I67" s="53" t="n"/>
      <c r="J67" s="53" t="n"/>
      <c r="K67" s="40" t="n">
        <v>0.6875</v>
      </c>
      <c r="L67" s="40" t="n">
        <v>0</v>
      </c>
      <c r="M67" s="40" t="n">
        <v>2.75</v>
      </c>
      <c r="N67" s="40" t="n">
        <v>0</v>
      </c>
      <c r="O67" s="40" t="n">
        <v>2.75</v>
      </c>
      <c r="P67" s="40" t="n">
        <v>0.46</v>
      </c>
      <c r="Q67" s="41" t="n">
        <v>0</v>
      </c>
    </row>
    <row r="68">
      <c r="A68" s="50" t="n">
        <v>64</v>
      </c>
      <c r="B68" s="51" t="inlineStr">
        <is>
          <t>Drew Allar</t>
        </is>
      </c>
      <c r="C68" s="50" t="inlineStr">
        <is>
          <t>PIT</t>
        </is>
      </c>
      <c r="D68" s="50" t="inlineStr">
        <is>
          <t>CLE</t>
        </is>
      </c>
      <c r="E68" s="52" t="n">
        <v>6000</v>
      </c>
      <c r="F68" s="53" t="n"/>
      <c r="G68" s="55" t="n">
        <v>-220</v>
      </c>
      <c r="H68" s="53" t="n"/>
      <c r="I68" s="53" t="n"/>
      <c r="J68" s="53" t="n"/>
      <c r="K68" s="40" t="n">
        <v>0.6875</v>
      </c>
      <c r="L68" s="40" t="n">
        <v>0</v>
      </c>
      <c r="M68" s="40" t="n">
        <v>2.75</v>
      </c>
      <c r="N68" s="40" t="n">
        <v>0</v>
      </c>
      <c r="O68" s="40" t="n">
        <v>2.75</v>
      </c>
      <c r="P68" s="40" t="n">
        <v>0.46</v>
      </c>
      <c r="Q68" s="41" t="n">
        <v>0</v>
      </c>
    </row>
    <row r="69">
      <c r="A69" s="50" t="n">
        <v>65</v>
      </c>
      <c r="B69" s="51" t="inlineStr">
        <is>
          <t>Nick Mullens</t>
        </is>
      </c>
      <c r="C69" s="50" t="inlineStr">
        <is>
          <t>JAC</t>
        </is>
      </c>
      <c r="D69" s="50" t="inlineStr">
        <is>
          <t>IND</t>
        </is>
      </c>
      <c r="E69" s="52" t="n">
        <v>6000</v>
      </c>
      <c r="F69" s="53" t="n"/>
      <c r="G69" s="55" t="n">
        <v>-220</v>
      </c>
      <c r="H69" s="53" t="n"/>
      <c r="I69" s="53" t="n"/>
      <c r="J69" s="53" t="n"/>
      <c r="K69" s="40" t="n">
        <v>0.6875</v>
      </c>
      <c r="L69" s="40" t="n">
        <v>0</v>
      </c>
      <c r="M69" s="40" t="n">
        <v>2.75</v>
      </c>
      <c r="N69" s="40" t="n">
        <v>0</v>
      </c>
      <c r="O69" s="40" t="n">
        <v>2.75</v>
      </c>
      <c r="P69" s="40" t="n">
        <v>0.46</v>
      </c>
      <c r="Q69" s="41" t="n">
        <v>0</v>
      </c>
    </row>
    <row r="70">
      <c r="A70" s="50" t="n">
        <v>66</v>
      </c>
      <c r="B70" s="51" t="inlineStr">
        <is>
          <t>Andy Dalton</t>
        </is>
      </c>
      <c r="C70" s="50" t="inlineStr">
        <is>
          <t>ATL</t>
        </is>
      </c>
      <c r="D70" s="50" t="inlineStr">
        <is>
          <t>TB</t>
        </is>
      </c>
      <c r="E70" s="52" t="n">
        <v>6000</v>
      </c>
      <c r="F70" s="53" t="n"/>
      <c r="G70" s="55" t="n">
        <v>-220</v>
      </c>
      <c r="H70" s="53" t="n"/>
      <c r="I70" s="53" t="n"/>
      <c r="J70" s="53" t="n"/>
      <c r="K70" s="40" t="n">
        <v>0.6875</v>
      </c>
      <c r="L70" s="40" t="n">
        <v>0</v>
      </c>
      <c r="M70" s="40" t="n">
        <v>2.75</v>
      </c>
      <c r="N70" s="40" t="n">
        <v>0</v>
      </c>
      <c r="O70" s="40" t="n">
        <v>2.75</v>
      </c>
      <c r="P70" s="40" t="n">
        <v>0.46</v>
      </c>
      <c r="Q70" s="41" t="n">
        <v>0</v>
      </c>
    </row>
    <row r="71">
      <c r="A71" s="50" t="n">
        <v>67</v>
      </c>
      <c r="B71" s="51" t="inlineStr">
        <is>
          <t>Sean Clifford</t>
        </is>
      </c>
      <c r="C71" s="50" t="inlineStr">
        <is>
          <t>CIN</t>
        </is>
      </c>
      <c r="D71" s="50" t="inlineStr">
        <is>
          <t>TEN</t>
        </is>
      </c>
      <c r="E71" s="52" t="n">
        <v>6000</v>
      </c>
      <c r="F71" s="53" t="n"/>
      <c r="G71" s="55" t="n">
        <v>-220</v>
      </c>
      <c r="H71" s="53" t="n"/>
      <c r="I71" s="53" t="n"/>
      <c r="J71" s="53" t="n"/>
      <c r="K71" s="40" t="n">
        <v>0.6875</v>
      </c>
      <c r="L71" s="40" t="n">
        <v>0</v>
      </c>
      <c r="M71" s="40" t="n">
        <v>2.75</v>
      </c>
      <c r="N71" s="40" t="n">
        <v>0</v>
      </c>
      <c r="O71" s="40" t="n">
        <v>2.75</v>
      </c>
      <c r="P71" s="40" t="n">
        <v>0.46</v>
      </c>
      <c r="Q71" s="41" t="n">
        <v>0</v>
      </c>
    </row>
    <row r="72">
      <c r="A72" s="50" t="n">
        <v>68</v>
      </c>
      <c r="B72" s="51" t="inlineStr">
        <is>
          <t>Will Levis</t>
        </is>
      </c>
      <c r="C72" s="50" t="inlineStr">
        <is>
          <t>NYJ</t>
        </is>
      </c>
      <c r="D72" s="50" t="inlineStr">
        <is>
          <t>LV</t>
        </is>
      </c>
      <c r="E72" s="52" t="n">
        <v>6000</v>
      </c>
      <c r="F72" s="53" t="n"/>
      <c r="G72" s="55" t="n">
        <v>-220</v>
      </c>
      <c r="H72" s="53" t="n"/>
      <c r="I72" s="53" t="n"/>
      <c r="J72" s="53" t="n"/>
      <c r="K72" s="40" t="n">
        <v>0.6875</v>
      </c>
      <c r="L72" s="40" t="n">
        <v>0</v>
      </c>
      <c r="M72" s="40" t="n">
        <v>2.75</v>
      </c>
      <c r="N72" s="40" t="n">
        <v>0</v>
      </c>
      <c r="O72" s="40" t="n">
        <v>2.75</v>
      </c>
      <c r="P72" s="40" t="n">
        <v>0.46</v>
      </c>
      <c r="Q72" s="41" t="n">
        <v>0</v>
      </c>
    </row>
    <row r="73">
      <c r="A73" s="50" t="n">
        <v>69</v>
      </c>
      <c r="B73" s="51" t="inlineStr">
        <is>
          <t>Luke Altmyer</t>
        </is>
      </c>
      <c r="C73" s="50" t="inlineStr">
        <is>
          <t>DET</t>
        </is>
      </c>
      <c r="D73" s="50" t="inlineStr">
        <is>
          <t>MIN</t>
        </is>
      </c>
      <c r="E73" s="52" t="n">
        <v>6000</v>
      </c>
      <c r="F73" s="53" t="n"/>
      <c r="G73" s="55" t="n">
        <v>-220</v>
      </c>
      <c r="H73" s="53" t="n"/>
      <c r="I73" s="53" t="n"/>
      <c r="J73" s="53" t="n"/>
      <c r="K73" s="40" t="n">
        <v>0.6875</v>
      </c>
      <c r="L73" s="40" t="n">
        <v>0</v>
      </c>
      <c r="M73" s="40" t="n">
        <v>2.75</v>
      </c>
      <c r="N73" s="40" t="n">
        <v>0</v>
      </c>
      <c r="O73" s="40" t="n">
        <v>2.75</v>
      </c>
      <c r="P73" s="40" t="n">
        <v>0.46</v>
      </c>
      <c r="Q73" s="41" t="n">
        <v>0</v>
      </c>
    </row>
    <row r="74">
      <c r="A74" s="50" t="n">
        <v>70</v>
      </c>
      <c r="B74" s="51" t="inlineStr">
        <is>
          <t>Easton Stick</t>
        </is>
      </c>
      <c r="C74" s="50" t="inlineStr">
        <is>
          <t>TB</t>
        </is>
      </c>
      <c r="D74" s="50" t="inlineStr">
        <is>
          <t>ATL</t>
        </is>
      </c>
      <c r="E74" s="52" t="n">
        <v>6000</v>
      </c>
      <c r="F74" s="53" t="n"/>
      <c r="G74" s="55" t="n">
        <v>-220</v>
      </c>
      <c r="H74" s="53" t="n"/>
      <c r="I74" s="53" t="n"/>
      <c r="J74" s="53" t="n"/>
      <c r="K74" s="40" t="n">
        <v>0.6875</v>
      </c>
      <c r="L74" s="40" t="n">
        <v>0</v>
      </c>
      <c r="M74" s="40" t="n">
        <v>2.75</v>
      </c>
      <c r="N74" s="40" t="n">
        <v>0</v>
      </c>
      <c r="O74" s="40" t="n">
        <v>2.75</v>
      </c>
      <c r="P74" s="40" t="n">
        <v>0.46</v>
      </c>
      <c r="Q74" s="41" t="n">
        <v>0</v>
      </c>
    </row>
    <row r="75">
      <c r="A75" s="50" t="n">
        <v>71</v>
      </c>
      <c r="B75" s="51" t="inlineStr">
        <is>
          <t>Joey Aguilar</t>
        </is>
      </c>
      <c r="C75" s="50" t="inlineStr">
        <is>
          <t>JAC</t>
        </is>
      </c>
      <c r="D75" s="50" t="inlineStr">
        <is>
          <t>IND</t>
        </is>
      </c>
      <c r="E75" s="52" t="n">
        <v>6000</v>
      </c>
      <c r="F75" s="53" t="n"/>
      <c r="G75" s="55" t="n">
        <v>-220</v>
      </c>
      <c r="H75" s="53" t="n"/>
      <c r="I75" s="53" t="n"/>
      <c r="J75" s="53" t="n"/>
      <c r="K75" s="40" t="n">
        <v>0.6875</v>
      </c>
      <c r="L75" s="40" t="n">
        <v>0</v>
      </c>
      <c r="M75" s="40" t="n">
        <v>2.75</v>
      </c>
      <c r="N75" s="40" t="n">
        <v>0</v>
      </c>
      <c r="O75" s="40" t="n">
        <v>2.75</v>
      </c>
      <c r="P75" s="40" t="n">
        <v>0.46</v>
      </c>
      <c r="Q75" s="41" t="n">
        <v>0</v>
      </c>
    </row>
    <row r="76">
      <c r="A76" s="50" t="n">
        <v>72</v>
      </c>
      <c r="B76" s="51" t="inlineStr">
        <is>
          <t>Skylar Thompson</t>
        </is>
      </c>
      <c r="C76" s="50" t="inlineStr">
        <is>
          <t>BAL</t>
        </is>
      </c>
      <c r="D76" s="50" t="inlineStr">
        <is>
          <t>BUF</t>
        </is>
      </c>
      <c r="E76" s="52" t="n">
        <v>6000</v>
      </c>
      <c r="F76" s="53" t="n"/>
      <c r="G76" s="55" t="n">
        <v>-220</v>
      </c>
      <c r="H76" s="53" t="n"/>
      <c r="I76" s="53" t="n"/>
      <c r="J76" s="53" t="n"/>
      <c r="K76" s="40" t="n">
        <v>0.6875</v>
      </c>
      <c r="L76" s="40" t="n">
        <v>0</v>
      </c>
      <c r="M76" s="40" t="n">
        <v>2.75</v>
      </c>
      <c r="N76" s="40" t="n">
        <v>0</v>
      </c>
      <c r="O76" s="40" t="n">
        <v>2.75</v>
      </c>
      <c r="P76" s="40" t="n">
        <v>0.46</v>
      </c>
      <c r="Q76" s="41" t="n">
        <v>0</v>
      </c>
    </row>
    <row r="77">
      <c r="A77" s="50" t="n">
        <v>73</v>
      </c>
      <c r="B77" s="51" t="inlineStr">
        <is>
          <t>Kyle Trask</t>
        </is>
      </c>
      <c r="C77" s="50" t="inlineStr">
        <is>
          <t>DAL</t>
        </is>
      </c>
      <c r="D77" s="50" t="inlineStr">
        <is>
          <t>ARI</t>
        </is>
      </c>
      <c r="E77" s="52" t="n">
        <v>6000</v>
      </c>
      <c r="F77" s="53" t="n"/>
      <c r="G77" s="55" t="n">
        <v>-220</v>
      </c>
      <c r="H77" s="53" t="n"/>
      <c r="I77" s="53" t="n"/>
      <c r="J77" s="53" t="n"/>
      <c r="K77" s="40" t="n">
        <v>0.6875</v>
      </c>
      <c r="L77" s="40" t="n">
        <v>0</v>
      </c>
      <c r="M77" s="40" t="n">
        <v>2.75</v>
      </c>
      <c r="N77" s="40" t="n">
        <v>0</v>
      </c>
      <c r="O77" s="40" t="n">
        <v>2.75</v>
      </c>
      <c r="P77" s="40" t="n">
        <v>0.46</v>
      </c>
      <c r="Q77" s="41" t="n">
        <v>0</v>
      </c>
    </row>
    <row r="78">
      <c r="A78" s="50" t="n">
        <v>74</v>
      </c>
      <c r="B78" s="51" t="inlineStr">
        <is>
          <t>Matthew Caldwell</t>
        </is>
      </c>
      <c r="C78" s="50" t="inlineStr">
        <is>
          <t>LAR</t>
        </is>
      </c>
      <c r="D78" s="50" t="inlineStr">
        <is>
          <t>LAC</t>
        </is>
      </c>
      <c r="E78" s="52" t="n">
        <v>6000</v>
      </c>
      <c r="F78" s="40" t="n"/>
      <c r="G78" s="55" t="n">
        <v>-220</v>
      </c>
      <c r="H78" s="40" t="n"/>
      <c r="I78" s="55" t="n"/>
      <c r="J78" s="40" t="n"/>
      <c r="K78" s="40" t="n">
        <v>0.6875</v>
      </c>
      <c r="L78" s="40" t="n">
        <v>0.2353</v>
      </c>
      <c r="M78" s="40" t="n">
        <v>2.75</v>
      </c>
      <c r="N78" s="40" t="n">
        <v>0</v>
      </c>
      <c r="O78" s="40" t="n">
        <v>2.75</v>
      </c>
      <c r="P78" s="40" t="n">
        <v>0.46</v>
      </c>
      <c r="Q78" s="41" t="n">
        <v>0</v>
      </c>
    </row>
    <row r="79">
      <c r="A79" s="50" t="n">
        <v>75</v>
      </c>
      <c r="B79" s="51" t="inlineStr">
        <is>
          <t>Hendon Hooker</t>
        </is>
      </c>
      <c r="C79" s="50" t="inlineStr">
        <is>
          <t>TEN</t>
        </is>
      </c>
      <c r="D79" s="50" t="inlineStr">
        <is>
          <t>CIN</t>
        </is>
      </c>
      <c r="E79" s="52" t="n">
        <v>6000</v>
      </c>
      <c r="F79" s="53" t="n"/>
      <c r="G79" s="55" t="n">
        <v>-220</v>
      </c>
      <c r="H79" s="53" t="n"/>
      <c r="I79" s="53" t="n"/>
      <c r="J79" s="53" t="n"/>
      <c r="K79" s="40" t="n">
        <v>0.6875</v>
      </c>
      <c r="L79" s="40" t="n">
        <v>0</v>
      </c>
      <c r="M79" s="40" t="n">
        <v>2.75</v>
      </c>
      <c r="N79" s="40" t="n">
        <v>0</v>
      </c>
      <c r="O79" s="40" t="n">
        <v>2.75</v>
      </c>
      <c r="P79" s="40" t="n">
        <v>0.46</v>
      </c>
      <c r="Q79" s="41" t="n">
        <v>0</v>
      </c>
    </row>
    <row r="80">
      <c r="A80" s="50" t="n">
        <v>76</v>
      </c>
      <c r="B80" s="51" t="inlineStr">
        <is>
          <t>Joe Fagnano</t>
        </is>
      </c>
      <c r="C80" s="50" t="inlineStr">
        <is>
          <t>BAL</t>
        </is>
      </c>
      <c r="D80" s="50" t="inlineStr">
        <is>
          <t>CLE</t>
        </is>
      </c>
      <c r="E80" s="52" t="n">
        <v>6000</v>
      </c>
      <c r="F80" s="53" t="n"/>
      <c r="G80" s="55" t="n">
        <v>-220</v>
      </c>
      <c r="H80" s="53" t="n"/>
      <c r="I80" s="53" t="n"/>
      <c r="J80" s="53" t="n"/>
      <c r="K80" s="40" t="n">
        <v>0.6875</v>
      </c>
      <c r="L80" s="40" t="n">
        <v>0</v>
      </c>
      <c r="M80" s="40" t="n">
        <v>2.75</v>
      </c>
      <c r="N80" s="40" t="n">
        <v>0</v>
      </c>
      <c r="O80" s="40" t="n">
        <v>2.75</v>
      </c>
      <c r="P80" s="40" t="n">
        <v>0.46</v>
      </c>
      <c r="Q80" s="41" t="n">
        <v>0</v>
      </c>
    </row>
    <row r="81">
      <c r="A81" s="50" t="n">
        <v>77</v>
      </c>
      <c r="B81" s="51" t="inlineStr">
        <is>
          <t>Skylar Thompson</t>
        </is>
      </c>
      <c r="C81" s="50" t="inlineStr">
        <is>
          <t>BAL</t>
        </is>
      </c>
      <c r="D81" s="50" t="inlineStr">
        <is>
          <t>CLE</t>
        </is>
      </c>
      <c r="E81" s="52" t="n">
        <v>6000</v>
      </c>
      <c r="F81" s="53" t="n"/>
      <c r="G81" s="55" t="n">
        <v>-220</v>
      </c>
      <c r="H81" s="53" t="n"/>
      <c r="I81" s="53" t="n"/>
      <c r="J81" s="53" t="n"/>
      <c r="K81" s="40" t="n">
        <v>0.6875</v>
      </c>
      <c r="L81" s="40" t="n">
        <v>0</v>
      </c>
      <c r="M81" s="40" t="n">
        <v>2.75</v>
      </c>
      <c r="N81" s="40" t="n">
        <v>0</v>
      </c>
      <c r="O81" s="40" t="n">
        <v>2.75</v>
      </c>
      <c r="P81" s="40" t="n">
        <v>0.46</v>
      </c>
      <c r="Q81" s="41" t="n">
        <v>0</v>
      </c>
    </row>
    <row r="82">
      <c r="A82" s="50" t="n">
        <v>78</v>
      </c>
      <c r="B82" s="51" t="inlineStr">
        <is>
          <t>Bailey Zappe</t>
        </is>
      </c>
      <c r="C82" s="50" t="inlineStr">
        <is>
          <t>NYJ</t>
        </is>
      </c>
      <c r="D82" s="50" t="inlineStr">
        <is>
          <t>DET</t>
        </is>
      </c>
      <c r="E82" s="52" t="n">
        <v>6000</v>
      </c>
      <c r="F82" s="53" t="n"/>
      <c r="G82" s="55" t="n">
        <v>-220</v>
      </c>
      <c r="H82" s="53" t="n"/>
      <c r="I82" s="53" t="n"/>
      <c r="J82" s="53" t="n"/>
      <c r="K82" s="40" t="n">
        <v>0.6875</v>
      </c>
      <c r="L82" s="40" t="n">
        <v>0</v>
      </c>
      <c r="M82" s="40" t="n">
        <v>2.75</v>
      </c>
      <c r="N82" s="40" t="n">
        <v>0</v>
      </c>
      <c r="O82" s="40" t="n">
        <v>2.75</v>
      </c>
      <c r="P82" s="40" t="n">
        <v>0.46</v>
      </c>
      <c r="Q82" s="41" t="n">
        <v>0</v>
      </c>
    </row>
    <row r="83">
      <c r="A83" s="50" t="n">
        <v>79</v>
      </c>
      <c r="B83" s="51" t="inlineStr">
        <is>
          <t>Jake Haener</t>
        </is>
      </c>
      <c r="C83" s="50" t="inlineStr">
        <is>
          <t>NYG</t>
        </is>
      </c>
      <c r="D83" s="50" t="inlineStr">
        <is>
          <t>NO</t>
        </is>
      </c>
      <c r="E83" s="52" t="n">
        <v>6000</v>
      </c>
      <c r="F83" s="53" t="n"/>
      <c r="G83" s="55" t="n">
        <v>-220</v>
      </c>
      <c r="H83" s="53" t="n"/>
      <c r="I83" s="53" t="n"/>
      <c r="J83" s="53" t="n"/>
      <c r="K83" s="40" t="n">
        <v>0.6875</v>
      </c>
      <c r="L83" s="40" t="n">
        <v>0</v>
      </c>
      <c r="M83" s="40" t="n">
        <v>2.75</v>
      </c>
      <c r="N83" s="40" t="n">
        <v>0</v>
      </c>
      <c r="O83" s="40" t="n">
        <v>2.75</v>
      </c>
      <c r="P83" s="40" t="n">
        <v>0.46</v>
      </c>
      <c r="Q83" s="41" t="n">
        <v>0</v>
      </c>
    </row>
    <row r="84">
      <c r="A84" s="50" t="n">
        <v>80</v>
      </c>
      <c r="B84" s="51" t="inlineStr">
        <is>
          <t>Kurtis Rourke</t>
        </is>
      </c>
      <c r="C84" s="50" t="inlineStr">
        <is>
          <t>SF</t>
        </is>
      </c>
      <c r="D84" s="50" t="inlineStr">
        <is>
          <t>DEN</t>
        </is>
      </c>
      <c r="E84" s="52" t="n">
        <v>6000</v>
      </c>
      <c r="F84" s="53" t="n"/>
      <c r="G84" s="55" t="n">
        <v>-220</v>
      </c>
      <c r="H84" s="53" t="n"/>
      <c r="I84" s="53" t="n"/>
      <c r="J84" s="53" t="n"/>
      <c r="K84" s="40" t="n">
        <v>0.6875</v>
      </c>
      <c r="L84" s="40" t="n">
        <v>0</v>
      </c>
      <c r="M84" s="40" t="n">
        <v>2.75</v>
      </c>
      <c r="N84" s="40" t="n">
        <v>0</v>
      </c>
      <c r="O84" s="40" t="n">
        <v>2.75</v>
      </c>
      <c r="P84" s="40" t="n">
        <v>0.46</v>
      </c>
      <c r="Q84" s="41" t="n">
        <v>0</v>
      </c>
    </row>
    <row r="85">
      <c r="A85" s="50" t="n">
        <v>81</v>
      </c>
      <c r="B85" s="51" t="inlineStr">
        <is>
          <t>Carson Beck</t>
        </is>
      </c>
      <c r="C85" s="50" t="inlineStr">
        <is>
          <t>ARI</t>
        </is>
      </c>
      <c r="D85" s="50" t="inlineStr">
        <is>
          <t>LAR</t>
        </is>
      </c>
      <c r="E85" s="52" t="n">
        <v>6000</v>
      </c>
      <c r="F85" s="53" t="n"/>
      <c r="G85" s="55" t="n">
        <v>-220</v>
      </c>
      <c r="H85" s="53" t="n"/>
      <c r="I85" s="53" t="n"/>
      <c r="J85" s="53" t="n"/>
      <c r="K85" s="40" t="n">
        <v>0.6875</v>
      </c>
      <c r="L85" s="40" t="n">
        <v>0</v>
      </c>
      <c r="M85" s="40" t="n">
        <v>2.75</v>
      </c>
      <c r="N85" s="40" t="n">
        <v>0</v>
      </c>
      <c r="O85" s="40" t="n">
        <v>2.75</v>
      </c>
      <c r="P85" s="40" t="n">
        <v>0.46</v>
      </c>
      <c r="Q85" s="41" t="n">
        <v>0</v>
      </c>
    </row>
    <row r="86">
      <c r="A86" s="50" t="n">
        <v>82</v>
      </c>
      <c r="B86" s="51" t="inlineStr">
        <is>
          <t>Haynes King</t>
        </is>
      </c>
      <c r="C86" s="50" t="inlineStr">
        <is>
          <t>CAR</t>
        </is>
      </c>
      <c r="D86" s="50" t="inlineStr">
        <is>
          <t>PHI</t>
        </is>
      </c>
      <c r="E86" s="52" t="n">
        <v>6000</v>
      </c>
      <c r="F86" s="53" t="n"/>
      <c r="G86" s="55" t="n">
        <v>-220</v>
      </c>
      <c r="H86" s="53" t="n"/>
      <c r="I86" s="53" t="n"/>
      <c r="J86" s="53" t="n"/>
      <c r="K86" s="40" t="n">
        <v>0.6875</v>
      </c>
      <c r="L86" s="40" t="n">
        <v>0</v>
      </c>
      <c r="M86" s="40" t="n">
        <v>2.75</v>
      </c>
      <c r="N86" s="40" t="n">
        <v>0</v>
      </c>
      <c r="O86" s="40" t="n">
        <v>2.75</v>
      </c>
      <c r="P86" s="40" t="n">
        <v>0.46</v>
      </c>
      <c r="Q86" s="41" t="n">
        <v>0</v>
      </c>
    </row>
    <row r="87">
      <c r="A87" s="50" t="n">
        <v>83</v>
      </c>
      <c r="B87" s="51" t="inlineStr">
        <is>
          <t>Hendon Hooker</t>
        </is>
      </c>
      <c r="C87" s="50" t="inlineStr">
        <is>
          <t>TEN</t>
        </is>
      </c>
      <c r="D87" s="50" t="inlineStr">
        <is>
          <t>IND</t>
        </is>
      </c>
      <c r="E87" s="52" t="n">
        <v>6000</v>
      </c>
      <c r="F87" s="53" t="n"/>
      <c r="G87" s="55" t="n">
        <v>-220</v>
      </c>
      <c r="H87" s="53" t="n"/>
      <c r="I87" s="53" t="n"/>
      <c r="J87" s="53" t="n"/>
      <c r="K87" s="40" t="n">
        <v>0.6875</v>
      </c>
      <c r="L87" s="40" t="n">
        <v>0</v>
      </c>
      <c r="M87" s="40" t="n">
        <v>2.75</v>
      </c>
      <c r="N87" s="40" t="n">
        <v>0</v>
      </c>
      <c r="O87" s="40" t="n">
        <v>2.75</v>
      </c>
      <c r="P87" s="40" t="n">
        <v>0.46</v>
      </c>
      <c r="Q87" s="41" t="n">
        <v>0</v>
      </c>
    </row>
    <row r="88">
      <c r="A88" s="50" t="n">
        <v>84</v>
      </c>
      <c r="B88" s="51" t="inlineStr">
        <is>
          <t>Drew Allar</t>
        </is>
      </c>
      <c r="C88" s="50" t="inlineStr">
        <is>
          <t>PIT</t>
        </is>
      </c>
      <c r="D88" s="50" t="inlineStr">
        <is>
          <t>TB</t>
        </is>
      </c>
      <c r="E88" s="52" t="n">
        <v>6000</v>
      </c>
      <c r="F88" s="53" t="n"/>
      <c r="G88" s="55" t="n">
        <v>-220</v>
      </c>
      <c r="H88" s="53" t="n"/>
      <c r="I88" s="53" t="n"/>
      <c r="J88" s="53" t="n"/>
      <c r="K88" s="40" t="n">
        <v>0.6875</v>
      </c>
      <c r="L88" s="40" t="n">
        <v>0</v>
      </c>
      <c r="M88" s="40" t="n">
        <v>2.75</v>
      </c>
      <c r="N88" s="40" t="n">
        <v>0</v>
      </c>
      <c r="O88" s="40" t="n">
        <v>2.75</v>
      </c>
      <c r="P88" s="40" t="n">
        <v>0.46</v>
      </c>
      <c r="Q88" s="41" t="n">
        <v>0</v>
      </c>
    </row>
    <row r="89">
      <c r="A89" s="50" t="n">
        <v>85</v>
      </c>
      <c r="B89" s="51" t="inlineStr">
        <is>
          <t>DJ Uiagalelei</t>
        </is>
      </c>
      <c r="C89" s="50" t="inlineStr">
        <is>
          <t>LAC</t>
        </is>
      </c>
      <c r="D89" s="50" t="inlineStr">
        <is>
          <t>KC</t>
        </is>
      </c>
      <c r="E89" s="52" t="n">
        <v>6000</v>
      </c>
      <c r="F89" s="53" t="n"/>
      <c r="G89" s="55" t="n">
        <v>-220</v>
      </c>
      <c r="H89" s="53" t="n"/>
      <c r="I89" s="53" t="n"/>
      <c r="J89" s="53" t="n"/>
      <c r="K89" s="40" t="n">
        <v>0.6875</v>
      </c>
      <c r="L89" s="40" t="n">
        <v>0</v>
      </c>
      <c r="M89" s="40" t="n">
        <v>2.75</v>
      </c>
      <c r="N89" s="40" t="n">
        <v>0</v>
      </c>
      <c r="O89" s="40" t="n">
        <v>2.75</v>
      </c>
      <c r="P89" s="40" t="n">
        <v>0.46</v>
      </c>
      <c r="Q89" s="41" t="n">
        <v>0</v>
      </c>
    </row>
    <row r="90">
      <c r="A90" s="50" t="n">
        <v>86</v>
      </c>
      <c r="B90" s="51" t="inlineStr">
        <is>
          <t>Max Brosmer</t>
        </is>
      </c>
      <c r="C90" s="50" t="inlineStr">
        <is>
          <t>MIN</t>
        </is>
      </c>
      <c r="D90" s="50" t="inlineStr">
        <is>
          <t>MIA</t>
        </is>
      </c>
      <c r="E90" s="52" t="n">
        <v>6000</v>
      </c>
      <c r="F90" s="53" t="n"/>
      <c r="G90" s="55" t="n">
        <v>-220</v>
      </c>
      <c r="H90" s="53" t="n"/>
      <c r="I90" s="53" t="n"/>
      <c r="J90" s="53" t="n"/>
      <c r="K90" s="40" t="n">
        <v>0.6875</v>
      </c>
      <c r="L90" s="40" t="n">
        <v>0</v>
      </c>
      <c r="M90" s="40" t="n">
        <v>2.75</v>
      </c>
      <c r="N90" s="40" t="n">
        <v>0</v>
      </c>
      <c r="O90" s="40" t="n">
        <v>2.75</v>
      </c>
      <c r="P90" s="40" t="n">
        <v>0.46</v>
      </c>
      <c r="Q90" s="41" t="n">
        <v>0</v>
      </c>
    </row>
    <row r="91">
      <c r="A91" s="50" t="n">
        <v>87</v>
      </c>
      <c r="B91" s="51" t="inlineStr">
        <is>
          <t>Hendon Hooker</t>
        </is>
      </c>
      <c r="C91" s="50" t="inlineStr">
        <is>
          <t>TEN</t>
        </is>
      </c>
      <c r="D91" s="50" t="inlineStr">
        <is>
          <t>IND</t>
        </is>
      </c>
      <c r="E91" s="52" t="n">
        <v>6000</v>
      </c>
      <c r="F91" s="53" t="n"/>
      <c r="G91" s="55" t="n">
        <v>-220</v>
      </c>
      <c r="H91" s="53" t="n"/>
      <c r="I91" s="53" t="n"/>
      <c r="J91" s="53" t="n"/>
      <c r="K91" s="40" t="n">
        <v>0.6875</v>
      </c>
      <c r="L91" s="40" t="n">
        <v>0</v>
      </c>
      <c r="M91" s="40" t="n">
        <v>2.75</v>
      </c>
      <c r="N91" s="40" t="n">
        <v>0</v>
      </c>
      <c r="O91" s="40" t="n">
        <v>2.75</v>
      </c>
      <c r="P91" s="40" t="n">
        <v>0.46</v>
      </c>
      <c r="Q91" s="41" t="n">
        <v>0</v>
      </c>
    </row>
    <row r="92">
      <c r="A92" s="50" t="n">
        <v>88</v>
      </c>
      <c r="B92" s="51" t="inlineStr">
        <is>
          <t>Drew Allar</t>
        </is>
      </c>
      <c r="C92" s="50" t="inlineStr">
        <is>
          <t>PIT</t>
        </is>
      </c>
      <c r="D92" s="50" t="inlineStr">
        <is>
          <t>TB</t>
        </is>
      </c>
      <c r="E92" s="52" t="n">
        <v>6000</v>
      </c>
      <c r="F92" s="53" t="n"/>
      <c r="G92" s="55" t="n">
        <v>-220</v>
      </c>
      <c r="H92" s="53" t="n"/>
      <c r="I92" s="53" t="n"/>
      <c r="J92" s="53" t="n"/>
      <c r="K92" s="40" t="n">
        <v>0.6875</v>
      </c>
      <c r="L92" s="40" t="n">
        <v>0</v>
      </c>
      <c r="M92" s="40" t="n">
        <v>2.75</v>
      </c>
      <c r="N92" s="40" t="n">
        <v>0</v>
      </c>
      <c r="O92" s="40" t="n">
        <v>2.75</v>
      </c>
      <c r="P92" s="40" t="n">
        <v>0.46</v>
      </c>
      <c r="Q92" s="41" t="n">
        <v>0</v>
      </c>
    </row>
    <row r="93">
      <c r="A93" s="50" t="n">
        <v>89</v>
      </c>
      <c r="B93" s="51" t="inlineStr">
        <is>
          <t>DJ Uiagalelei</t>
        </is>
      </c>
      <c r="C93" s="50" t="inlineStr">
        <is>
          <t>LAC</t>
        </is>
      </c>
      <c r="D93" s="50" t="inlineStr">
        <is>
          <t>KC</t>
        </is>
      </c>
      <c r="E93" s="52" t="n">
        <v>6000</v>
      </c>
      <c r="F93" s="53" t="n"/>
      <c r="G93" s="55" t="n">
        <v>-220</v>
      </c>
      <c r="H93" s="53" t="n"/>
      <c r="I93" s="53" t="n"/>
      <c r="J93" s="53" t="n"/>
      <c r="K93" s="40" t="n">
        <v>0.6875</v>
      </c>
      <c r="L93" s="40" t="n">
        <v>0</v>
      </c>
      <c r="M93" s="40" t="n">
        <v>2.75</v>
      </c>
      <c r="N93" s="40" t="n">
        <v>0</v>
      </c>
      <c r="O93" s="40" t="n">
        <v>2.75</v>
      </c>
      <c r="P93" s="40" t="n">
        <v>0.46</v>
      </c>
      <c r="Q93" s="41" t="n">
        <v>0</v>
      </c>
    </row>
  </sheetData>
  <autoFilter ref="A4:O79">
    <sortState ref="A5:M49">
      <sortCondition descending="1" ref="L4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4" topLeftCell="A5" activePane="bottomLeft" state="frozen"/>
      <selection pane="bottomLeft" activeCell="D5" sqref="D5:I52"/>
    </sheetView>
  </sheetViews>
  <sheetFormatPr baseColWidth="8" defaultRowHeight="14.4"/>
  <cols>
    <col width="12" customWidth="1" style="29" min="1" max="1"/>
    <col width="26" customWidth="1" style="29" min="2" max="2"/>
    <col width="12" customWidth="1" style="29" min="3" max="5"/>
    <col width="15.44140625" bestFit="1" customWidth="1" style="29" min="6" max="6"/>
    <col width="20.109375" bestFit="1" customWidth="1" style="29" min="7" max="7"/>
    <col width="19.21875" bestFit="1" customWidth="1" style="29" min="8" max="8"/>
    <col width="19.21875" customWidth="1" style="29" min="9" max="9"/>
    <col width="13" bestFit="1" customWidth="1" style="29" min="10" max="10"/>
    <col width="13" bestFit="1" customWidth="1" style="29" min="11" max="11"/>
    <col width="16" bestFit="1" customWidth="1" style="29" min="12" max="12"/>
    <col width="10" customWidth="1" style="29" min="13" max="13"/>
    <col width="14" customWidth="1" style="29" min="14" max="14"/>
  </cols>
  <sheetData>
    <row r="1" ht="21" customHeight="1" s="29">
      <c r="A1" s="1" t="inlineStr">
        <is>
          <t>Running Backs (RB) - Sportsbook Props Projection Model</t>
        </is>
      </c>
    </row>
    <row r="2">
      <c r="A2" s="2" t="n"/>
    </row>
    <row r="3"/>
    <row r="4" ht="28.8" customHeight="1" s="29">
      <c r="A4" s="9" t="inlineStr">
        <is>
          <t>Rank</t>
        </is>
      </c>
      <c r="B4" s="8" t="inlineStr">
        <is>
          <t>Player Name</t>
        </is>
      </c>
      <c r="C4" s="9" t="inlineStr">
        <is>
          <t>Team</t>
        </is>
      </c>
      <c r="D4" s="9" t="inlineStr">
        <is>
          <t>Opponent</t>
        </is>
      </c>
      <c r="E4" s="9" t="inlineStr">
        <is>
          <t>Salary</t>
        </is>
      </c>
      <c r="F4" s="32" t="inlineStr">
        <is>
          <t>Rush Yds Prop</t>
        </is>
      </c>
      <c r="G4" s="32" t="inlineStr">
        <is>
          <t>Anytime TD Odds</t>
        </is>
      </c>
      <c r="H4" s="32" t="inlineStr">
        <is>
          <t>Receptions Prop</t>
        </is>
      </c>
      <c r="I4" s="32" t="inlineStr">
        <is>
          <t>Rec Yds Prop</t>
        </is>
      </c>
      <c r="J4" s="32" t="inlineStr">
        <is>
          <t>Implied TD %</t>
        </is>
      </c>
      <c r="K4" s="32" t="inlineStr">
        <is>
          <t>Projected Score</t>
        </is>
      </c>
      <c r="L4" s="32" t="inlineStr">
        <is>
          <t>ESPN Projection</t>
        </is>
      </c>
      <c r="M4" s="32" t="inlineStr">
        <is>
          <t>Weighted Projection</t>
        </is>
      </c>
      <c r="N4" s="32" t="inlineStr">
        <is>
          <t>Value</t>
        </is>
      </c>
      <c r="O4" s="32" t="inlineStr">
        <is>
          <t>Projected Ownership</t>
        </is>
      </c>
    </row>
    <row r="5">
      <c r="A5" s="35" t="n">
        <v>1</v>
      </c>
      <c r="B5" s="36" t="inlineStr">
        <is>
          <t>Jahmyr Gibbs</t>
        </is>
      </c>
      <c r="C5" s="35" t="inlineStr">
        <is>
          <t>DET</t>
        </is>
      </c>
      <c r="D5" s="35" t="inlineStr">
        <is>
          <t>MIN</t>
        </is>
      </c>
      <c r="E5" s="37" t="n">
        <v>9300</v>
      </c>
      <c r="F5" s="38" t="n">
        <v>84.5</v>
      </c>
      <c r="G5" s="54" t="n">
        <v>-250</v>
      </c>
      <c r="H5" s="38" t="n">
        <v>4.5</v>
      </c>
      <c r="I5" s="38" t="n">
        <v>35.5</v>
      </c>
      <c r="J5" s="39" t="n">
        <v>0.7143</v>
      </c>
      <c r="K5" s="39" t="n">
        <v>18.54</v>
      </c>
      <c r="L5" s="39" t="n">
        <v>26</v>
      </c>
      <c r="M5" s="40" t="n">
        <v>21.52</v>
      </c>
      <c r="N5" s="40" t="n">
        <v>2.31</v>
      </c>
      <c r="O5" s="41" t="n">
        <v>0.4069</v>
      </c>
    </row>
    <row r="6">
      <c r="A6" s="42" t="n">
        <v>2</v>
      </c>
      <c r="B6" s="43" t="inlineStr">
        <is>
          <t>Kenneth Walker III</t>
        </is>
      </c>
      <c r="C6" s="42" t="inlineStr">
        <is>
          <t>KC</t>
        </is>
      </c>
      <c r="D6" s="42" t="inlineStr">
        <is>
          <t>DEN</t>
        </is>
      </c>
      <c r="E6" s="44" t="n">
        <v>9000</v>
      </c>
      <c r="F6" s="38" t="n"/>
      <c r="G6" s="54" t="n">
        <v>-125</v>
      </c>
      <c r="H6" s="38" t="n"/>
      <c r="I6" s="38" t="n"/>
      <c r="J6" s="45" t="n">
        <v>0.5556</v>
      </c>
      <c r="K6" s="39" t="n">
        <v>3.33</v>
      </c>
      <c r="L6" s="45" t="n">
        <v>21.4</v>
      </c>
      <c r="M6" s="40" t="n">
        <v>10.56</v>
      </c>
      <c r="N6" s="40" t="n">
        <v>1.17</v>
      </c>
      <c r="O6" s="41" t="n">
        <v>0.0386</v>
      </c>
    </row>
    <row r="7">
      <c r="A7" s="35" t="n">
        <v>3</v>
      </c>
      <c r="B7" s="36" t="inlineStr">
        <is>
          <t>Bijan Robinson</t>
        </is>
      </c>
      <c r="C7" s="35" t="inlineStr">
        <is>
          <t>ATL</t>
        </is>
      </c>
      <c r="D7" s="35" t="inlineStr">
        <is>
          <t>TB</t>
        </is>
      </c>
      <c r="E7" s="37" t="n">
        <v>8800</v>
      </c>
      <c r="F7" s="38" t="n"/>
      <c r="G7" s="54" t="n">
        <v>-205</v>
      </c>
      <c r="H7" s="38" t="n"/>
      <c r="I7" s="38" t="n"/>
      <c r="J7" s="39" t="n">
        <v>0.6721</v>
      </c>
      <c r="K7" s="39" t="n">
        <v>4.03</v>
      </c>
      <c r="L7" s="39" t="n">
        <v>20.3</v>
      </c>
      <c r="M7" s="40" t="n">
        <v>10.54</v>
      </c>
      <c r="N7" s="40" t="n">
        <v>1.2</v>
      </c>
      <c r="O7" s="41" t="n">
        <v>0.0394</v>
      </c>
    </row>
    <row r="8">
      <c r="A8" s="42" t="n">
        <v>4</v>
      </c>
      <c r="B8" s="43" t="inlineStr">
        <is>
          <t>James Cook III</t>
        </is>
      </c>
      <c r="C8" s="42" t="inlineStr">
        <is>
          <t>BUF</t>
        </is>
      </c>
      <c r="D8" s="42" t="inlineStr">
        <is>
          <t>BAL</t>
        </is>
      </c>
      <c r="E8" s="44" t="n">
        <v>8400</v>
      </c>
      <c r="F8" s="38" t="n"/>
      <c r="G8" s="54" t="n">
        <v>-150</v>
      </c>
      <c r="H8" s="38" t="n"/>
      <c r="I8" s="38" t="n"/>
      <c r="J8" s="45" t="n">
        <v>0.6</v>
      </c>
      <c r="K8" s="39" t="n">
        <v>3.6</v>
      </c>
      <c r="L8" s="45" t="n">
        <v>20.7</v>
      </c>
      <c r="M8" s="40" t="n">
        <v>10.44</v>
      </c>
      <c r="N8" s="40" t="n">
        <v>1.24</v>
      </c>
      <c r="O8" s="41" t="n">
        <v>0.0404</v>
      </c>
    </row>
    <row r="9">
      <c r="A9" s="42" t="n">
        <v>5</v>
      </c>
      <c r="B9" s="43" t="inlineStr">
        <is>
          <t>Jonathan Taylor</t>
        </is>
      </c>
      <c r="C9" s="42" t="inlineStr">
        <is>
          <t>IND</t>
        </is>
      </c>
      <c r="D9" s="42" t="inlineStr">
        <is>
          <t>JAC</t>
        </is>
      </c>
      <c r="E9" s="44" t="n">
        <v>8300</v>
      </c>
      <c r="F9" s="38" t="n"/>
      <c r="G9" s="54" t="n">
        <v>-167</v>
      </c>
      <c r="H9" s="38" t="n"/>
      <c r="I9" s="38" t="n"/>
      <c r="J9" s="45" t="n">
        <v>0.6254999999999999</v>
      </c>
      <c r="K9" s="39" t="n">
        <v>3.75</v>
      </c>
      <c r="L9" s="45" t="n">
        <v>17.1</v>
      </c>
      <c r="M9" s="40" t="n">
        <v>9.09</v>
      </c>
      <c r="N9" s="40" t="n">
        <v>1.1</v>
      </c>
      <c r="O9" s="41" t="n">
        <v>0.0241</v>
      </c>
    </row>
    <row r="10">
      <c r="A10" s="35" t="n">
        <v>6</v>
      </c>
      <c r="B10" s="36" t="inlineStr">
        <is>
          <t>Javonte Williams</t>
        </is>
      </c>
      <c r="C10" s="35" t="inlineStr">
        <is>
          <t>DAL</t>
        </is>
      </c>
      <c r="D10" s="35" t="inlineStr">
        <is>
          <t>ARI</t>
        </is>
      </c>
      <c r="E10" s="37" t="n">
        <v>7500</v>
      </c>
      <c r="F10" s="38" t="n"/>
      <c r="G10" s="54" t="n">
        <v>-250</v>
      </c>
      <c r="H10" s="38" t="n"/>
      <c r="I10" s="38" t="n"/>
      <c r="J10" s="39" t="n">
        <v>0.7143</v>
      </c>
      <c r="K10" s="39" t="n">
        <v>4.29</v>
      </c>
      <c r="L10" s="39" t="n">
        <v>21.8</v>
      </c>
      <c r="M10" s="40" t="n">
        <v>11.29</v>
      </c>
      <c r="N10" s="40" t="n">
        <v>1.51</v>
      </c>
      <c r="O10" s="41" t="n">
        <v>0.0624</v>
      </c>
    </row>
    <row r="11">
      <c r="A11" s="35" t="n">
        <v>7</v>
      </c>
      <c r="B11" s="36" t="inlineStr">
        <is>
          <t>Derrick Henry</t>
        </is>
      </c>
      <c r="C11" s="35" t="inlineStr">
        <is>
          <t>BAL</t>
        </is>
      </c>
      <c r="D11" s="35" t="inlineStr">
        <is>
          <t>BUF</t>
        </is>
      </c>
      <c r="E11" s="37" t="n">
        <v>8500</v>
      </c>
      <c r="F11" s="38" t="n"/>
      <c r="G11" s="54" t="n">
        <v>-205</v>
      </c>
      <c r="H11" s="38" t="n"/>
      <c r="I11" s="38" t="n"/>
      <c r="J11" s="39" t="n">
        <v>0.6721</v>
      </c>
      <c r="K11" s="39" t="n">
        <v>4.03</v>
      </c>
      <c r="L11" s="39" t="n">
        <v>20.9</v>
      </c>
      <c r="M11" s="40" t="n">
        <v>10.78</v>
      </c>
      <c r="N11" s="40" t="n">
        <v>1.27</v>
      </c>
      <c r="O11" s="41" t="n">
        <v>0.0448</v>
      </c>
    </row>
    <row r="12">
      <c r="A12" s="35" t="n">
        <v>8</v>
      </c>
      <c r="B12" s="36" t="inlineStr">
        <is>
          <t>Kyren Williams</t>
        </is>
      </c>
      <c r="C12" s="35" t="inlineStr">
        <is>
          <t>LAR</t>
        </is>
      </c>
      <c r="D12" s="35" t="inlineStr">
        <is>
          <t>LAC</t>
        </is>
      </c>
      <c r="E12" s="37" t="n">
        <v>7600</v>
      </c>
      <c r="F12" s="38" t="n"/>
      <c r="G12" s="54" t="n">
        <v>-160</v>
      </c>
      <c r="H12" s="38" t="n"/>
      <c r="I12" s="38" t="n"/>
      <c r="J12" s="39" t="n">
        <v>0.6153999999999999</v>
      </c>
      <c r="K12" s="39" t="n">
        <v>3.69</v>
      </c>
      <c r="L12" s="39" t="n">
        <v>18.7</v>
      </c>
      <c r="M12" s="40" t="n">
        <v>9.699999999999999</v>
      </c>
      <c r="N12" s="40" t="n">
        <v>1.28</v>
      </c>
      <c r="O12" s="41" t="n">
        <v>0.0348</v>
      </c>
    </row>
    <row r="13">
      <c r="A13" s="35" t="n">
        <v>9</v>
      </c>
      <c r="B13" s="36" t="inlineStr">
        <is>
          <t>Jaylen Warren</t>
        </is>
      </c>
      <c r="C13" s="35" t="inlineStr">
        <is>
          <t>PIT</t>
        </is>
      </c>
      <c r="D13" s="35" t="inlineStr">
        <is>
          <t>CLE</t>
        </is>
      </c>
      <c r="E13" s="37" t="n">
        <v>7400</v>
      </c>
      <c r="F13" s="38" t="n"/>
      <c r="G13" s="54" t="n">
        <v>-135</v>
      </c>
      <c r="H13" s="38" t="n"/>
      <c r="I13" s="38" t="n"/>
      <c r="J13" s="39" t="n">
        <v>0.5745</v>
      </c>
      <c r="K13" s="39" t="n">
        <v>3.45</v>
      </c>
      <c r="L13" s="39" t="n">
        <v>16.9</v>
      </c>
      <c r="M13" s="40" t="n">
        <v>8.83</v>
      </c>
      <c r="N13" s="40" t="n">
        <v>1.19</v>
      </c>
      <c r="O13" s="41" t="n">
        <v>0.0249</v>
      </c>
    </row>
    <row r="14">
      <c r="A14" s="35" t="n">
        <v>10</v>
      </c>
      <c r="B14" s="36" t="inlineStr">
        <is>
          <t>Ashton Jeanty</t>
        </is>
      </c>
      <c r="C14" s="35" t="inlineStr">
        <is>
          <t>LV</t>
        </is>
      </c>
      <c r="D14" s="35" t="inlineStr">
        <is>
          <t>NYJ</t>
        </is>
      </c>
      <c r="E14" s="37" t="n">
        <v>7200</v>
      </c>
      <c r="F14" s="38" t="n"/>
      <c r="G14" s="54" t="n">
        <v>-125</v>
      </c>
      <c r="H14" s="38" t="n"/>
      <c r="I14" s="38" t="n"/>
      <c r="J14" s="39" t="n">
        <v>0.5556</v>
      </c>
      <c r="K14" s="39" t="n">
        <v>3.33</v>
      </c>
      <c r="L14" s="39" t="n">
        <v>17</v>
      </c>
      <c r="M14" s="40" t="n">
        <v>8.800000000000001</v>
      </c>
      <c r="N14" s="40" t="n">
        <v>1.22</v>
      </c>
      <c r="O14" s="41" t="n">
        <v>0.0254</v>
      </c>
    </row>
    <row r="15">
      <c r="A15" s="35" t="n">
        <v>11</v>
      </c>
      <c r="B15" s="36" t="inlineStr">
        <is>
          <t>Bucky Irving</t>
        </is>
      </c>
      <c r="C15" s="35" t="inlineStr">
        <is>
          <t>TB</t>
        </is>
      </c>
      <c r="D15" s="35" t="inlineStr">
        <is>
          <t>ATL</t>
        </is>
      </c>
      <c r="E15" s="37" t="n">
        <v>7300</v>
      </c>
      <c r="F15" s="38" t="n"/>
      <c r="G15" s="54" t="n">
        <v>-130</v>
      </c>
      <c r="H15" s="38" t="n"/>
      <c r="I15" s="38" t="n"/>
      <c r="J15" s="39" t="n">
        <v>0.5652</v>
      </c>
      <c r="K15" s="39" t="n">
        <v>3.39</v>
      </c>
      <c r="L15" s="39" t="n">
        <v>18.7</v>
      </c>
      <c r="M15" s="40" t="n">
        <v>9.51</v>
      </c>
      <c r="N15" s="40" t="n">
        <v>1.3</v>
      </c>
      <c r="O15" s="41" t="n">
        <v>0.034</v>
      </c>
    </row>
    <row r="16">
      <c r="A16" s="35" t="n">
        <v>12</v>
      </c>
      <c r="B16" s="36" t="inlineStr">
        <is>
          <t>Ollie Gordon II</t>
        </is>
      </c>
      <c r="C16" s="35" t="inlineStr">
        <is>
          <t>MIA</t>
        </is>
      </c>
      <c r="D16" s="35" t="inlineStr">
        <is>
          <t>NE</t>
        </is>
      </c>
      <c r="E16" s="37" t="n">
        <v>6400</v>
      </c>
      <c r="F16" s="38" t="n"/>
      <c r="G16" s="54" t="n">
        <v>130</v>
      </c>
      <c r="H16" s="38" t="n"/>
      <c r="I16" s="38" t="n"/>
      <c r="J16" s="39" t="n">
        <v>0.4348</v>
      </c>
      <c r="K16" s="39" t="n">
        <v>2.61</v>
      </c>
      <c r="L16" s="39" t="n">
        <v>15.9</v>
      </c>
      <c r="M16" s="40" t="n">
        <v>7.93</v>
      </c>
      <c r="N16" s="40" t="n">
        <v>1.24</v>
      </c>
      <c r="O16" s="41" t="n">
        <v>0.0192</v>
      </c>
    </row>
    <row r="17">
      <c r="A17" s="42" t="n">
        <v>13</v>
      </c>
      <c r="B17" s="43" t="inlineStr">
        <is>
          <t>Bhayshul Tuten</t>
        </is>
      </c>
      <c r="C17" s="42" t="inlineStr">
        <is>
          <t>JAC</t>
        </is>
      </c>
      <c r="D17" s="42" t="inlineStr">
        <is>
          <t>IND</t>
        </is>
      </c>
      <c r="E17" s="44" t="n">
        <v>6900</v>
      </c>
      <c r="F17" s="38" t="n"/>
      <c r="G17" s="54" t="n">
        <v>-115</v>
      </c>
      <c r="H17" s="46" t="n"/>
      <c r="I17" s="46" t="n"/>
      <c r="J17" s="45" t="n">
        <v>0.5349</v>
      </c>
      <c r="K17" s="39" t="n">
        <v>3.21</v>
      </c>
      <c r="L17" s="45" t="n">
        <v>16</v>
      </c>
      <c r="M17" s="40" t="n">
        <v>8.33</v>
      </c>
      <c r="N17" s="40" t="n">
        <v>1.21</v>
      </c>
      <c r="O17" s="41" t="n">
        <v>0.0215</v>
      </c>
    </row>
    <row r="18">
      <c r="A18" s="42" t="n">
        <v>14</v>
      </c>
      <c r="B18" s="43" t="inlineStr">
        <is>
          <t>Breece Hall</t>
        </is>
      </c>
      <c r="C18" s="42" t="inlineStr">
        <is>
          <t>NYJ</t>
        </is>
      </c>
      <c r="D18" s="42" t="inlineStr">
        <is>
          <t>LV</t>
        </is>
      </c>
      <c r="E18" s="44" t="n">
        <v>7000</v>
      </c>
      <c r="F18" s="38" t="n"/>
      <c r="G18" s="54" t="n">
        <v>-111</v>
      </c>
      <c r="H18" s="38" t="n"/>
      <c r="I18" s="38" t="n"/>
      <c r="J18" s="45" t="n">
        <v>0.5261</v>
      </c>
      <c r="K18" s="39" t="n">
        <v>3.16</v>
      </c>
      <c r="L18" s="45" t="n">
        <v>16.6</v>
      </c>
      <c r="M18" s="40" t="n">
        <v>8.529999999999999</v>
      </c>
      <c r="N18" s="40" t="n">
        <v>1.22</v>
      </c>
      <c r="O18" s="41" t="n">
        <v>0.0232</v>
      </c>
    </row>
    <row r="19">
      <c r="A19" s="35" t="n">
        <v>15</v>
      </c>
      <c r="B19" s="36" t="inlineStr">
        <is>
          <t>Aaron Jones Sr.</t>
        </is>
      </c>
      <c r="C19" s="35" t="inlineStr">
        <is>
          <t>MIN</t>
        </is>
      </c>
      <c r="D19" s="35" t="inlineStr">
        <is>
          <t>DET</t>
        </is>
      </c>
      <c r="E19" s="37" t="n">
        <v>5800</v>
      </c>
      <c r="F19" s="38" t="n"/>
      <c r="G19" s="54" t="n">
        <v>130</v>
      </c>
      <c r="H19" s="38" t="n"/>
      <c r="I19" s="38" t="n"/>
      <c r="J19" s="39" t="n">
        <v>0.4348</v>
      </c>
      <c r="K19" s="39" t="n">
        <v>2.61</v>
      </c>
      <c r="L19" s="39" t="n">
        <v>10.7</v>
      </c>
      <c r="M19" s="40" t="n">
        <v>5.85</v>
      </c>
      <c r="N19" s="40" t="n">
        <v>1.01</v>
      </c>
      <c r="O19" s="41" t="n">
        <v>0.0047</v>
      </c>
    </row>
    <row r="20">
      <c r="A20" s="35" t="n">
        <v>16</v>
      </c>
      <c r="B20" s="36" t="inlineStr">
        <is>
          <t>Tony Pollard</t>
        </is>
      </c>
      <c r="C20" s="35" t="inlineStr">
        <is>
          <t>TEN</t>
        </is>
      </c>
      <c r="D20" s="35" t="inlineStr">
        <is>
          <t>CIN</t>
        </is>
      </c>
      <c r="E20" s="37" t="n">
        <v>6200</v>
      </c>
      <c r="F20" s="46" t="n"/>
      <c r="G20" s="54" t="n">
        <v>130</v>
      </c>
      <c r="H20" s="46" t="n"/>
      <c r="I20" s="46" t="n"/>
      <c r="J20" s="39" t="n">
        <v>0.4348</v>
      </c>
      <c r="K20" s="39" t="n">
        <v>2.61</v>
      </c>
      <c r="L20" s="39" t="n">
        <v>15.5</v>
      </c>
      <c r="M20" s="40" t="n">
        <v>7.77</v>
      </c>
      <c r="N20" s="40" t="n">
        <v>1.25</v>
      </c>
      <c r="O20" s="41" t="n">
        <v>0.0183</v>
      </c>
    </row>
    <row r="21">
      <c r="A21" s="35" t="n">
        <v>17</v>
      </c>
      <c r="B21" s="36" t="inlineStr">
        <is>
          <t>Quinshon Judkins</t>
        </is>
      </c>
      <c r="C21" s="35" t="inlineStr">
        <is>
          <t>CLE</t>
        </is>
      </c>
      <c r="D21" s="35" t="inlineStr">
        <is>
          <t>PIT</t>
        </is>
      </c>
      <c r="E21" s="37" t="n">
        <v>6700</v>
      </c>
      <c r="F21" s="38" t="n"/>
      <c r="G21" s="54" t="n">
        <v>150</v>
      </c>
      <c r="H21" s="38" t="n"/>
      <c r="I21" s="38" t="n"/>
      <c r="J21" s="39" t="n">
        <v>0.4</v>
      </c>
      <c r="K21" s="39" t="n">
        <v>2.4</v>
      </c>
      <c r="L21" s="39" t="n">
        <v>12</v>
      </c>
      <c r="M21" s="40" t="n">
        <v>6.24</v>
      </c>
      <c r="N21" s="40" t="n">
        <v>0.93</v>
      </c>
      <c r="O21" s="41" t="n">
        <v>0.0057</v>
      </c>
    </row>
    <row r="22">
      <c r="A22" s="42" t="n">
        <v>18</v>
      </c>
      <c r="B22" s="43" t="inlineStr">
        <is>
          <t>Rhamondre Stevenson</t>
        </is>
      </c>
      <c r="C22" s="42" t="inlineStr">
        <is>
          <t>NE</t>
        </is>
      </c>
      <c r="D22" s="42" t="inlineStr">
        <is>
          <t>MIA</t>
        </is>
      </c>
      <c r="E22" s="44" t="n">
        <v>6500</v>
      </c>
      <c r="F22" s="38" t="n"/>
      <c r="G22" s="54" t="n">
        <v>-125</v>
      </c>
      <c r="H22" s="38" t="n"/>
      <c r="I22" s="38" t="n"/>
      <c r="J22" s="45" t="n">
        <v>0.5556</v>
      </c>
      <c r="K22" s="39" t="n">
        <v>3.33</v>
      </c>
      <c r="L22" s="45" t="n">
        <v>13.5</v>
      </c>
      <c r="M22" s="40" t="n">
        <v>7.4</v>
      </c>
      <c r="N22" s="40" t="n">
        <v>1.14</v>
      </c>
      <c r="O22" s="41" t="n">
        <v>0.0138</v>
      </c>
    </row>
    <row r="23">
      <c r="A23" s="42" t="n">
        <v>19</v>
      </c>
      <c r="B23" s="43" t="inlineStr">
        <is>
          <t>Braelon Allen</t>
        </is>
      </c>
      <c r="C23" s="42" t="inlineStr">
        <is>
          <t>NYJ</t>
        </is>
      </c>
      <c r="D23" s="42" t="inlineStr">
        <is>
          <t>LV</t>
        </is>
      </c>
      <c r="E23" s="44" t="n">
        <v>6600</v>
      </c>
      <c r="F23" s="38" t="n"/>
      <c r="G23" s="54" t="n">
        <v>-111</v>
      </c>
      <c r="H23" s="38" t="n"/>
      <c r="I23" s="38" t="n"/>
      <c r="J23" s="45" t="n">
        <v>0.5261</v>
      </c>
      <c r="K23" s="39" t="n">
        <v>3.16</v>
      </c>
      <c r="L23" s="45" t="n">
        <v>10.7</v>
      </c>
      <c r="M23" s="40" t="n">
        <v>6.17</v>
      </c>
      <c r="N23" s="40" t="n">
        <v>0.9399999999999999</v>
      </c>
      <c r="O23" s="41" t="n">
        <v>0.0055</v>
      </c>
    </row>
    <row r="24">
      <c r="A24" s="35" t="n">
        <v>20</v>
      </c>
      <c r="B24" s="36" t="inlineStr">
        <is>
          <t>Chase Brown</t>
        </is>
      </c>
      <c r="C24" s="35" t="inlineStr">
        <is>
          <t>CIN</t>
        </is>
      </c>
      <c r="D24" s="35" t="inlineStr">
        <is>
          <t>TEN</t>
        </is>
      </c>
      <c r="E24" s="37" t="n">
        <v>7100</v>
      </c>
      <c r="F24" s="38" t="n"/>
      <c r="G24" s="54" t="n">
        <v>105</v>
      </c>
      <c r="H24" s="38" t="n"/>
      <c r="I24" s="38" t="n"/>
      <c r="J24" s="39" t="n">
        <v>0.4878</v>
      </c>
      <c r="K24" s="39" t="n">
        <v>2.93</v>
      </c>
      <c r="L24" s="39" t="n">
        <v>17.3</v>
      </c>
      <c r="M24" s="40" t="n">
        <v>8.68</v>
      </c>
      <c r="N24" s="40" t="n">
        <v>1.22</v>
      </c>
      <c r="O24" s="41" t="n">
        <v>0.0245</v>
      </c>
    </row>
    <row r="25">
      <c r="A25" s="42" t="n">
        <v>21</v>
      </c>
      <c r="B25" s="43" t="inlineStr">
        <is>
          <t>James Conner</t>
        </is>
      </c>
      <c r="C25" s="42" t="inlineStr">
        <is>
          <t>ARI</t>
        </is>
      </c>
      <c r="D25" s="42" t="inlineStr">
        <is>
          <t>DAL</t>
        </is>
      </c>
      <c r="E25" s="44" t="n">
        <v>5100</v>
      </c>
      <c r="F25" s="38" t="n"/>
      <c r="G25" s="54" t="n"/>
      <c r="H25" s="38" t="n"/>
      <c r="I25" s="38" t="n"/>
      <c r="J25" s="45" t="n">
        <v>0.3846</v>
      </c>
      <c r="K25" s="39" t="n">
        <v>0</v>
      </c>
      <c r="L25" s="45" t="n">
        <v>0</v>
      </c>
      <c r="M25" s="40" t="n">
        <v>0</v>
      </c>
      <c r="N25" s="40" t="n">
        <v>0</v>
      </c>
      <c r="O25" s="41" t="n">
        <v>0.08</v>
      </c>
    </row>
    <row r="26">
      <c r="A26" s="35" t="n">
        <v>22</v>
      </c>
      <c r="B26" s="36" t="inlineStr">
        <is>
          <t>Jordan Mason</t>
        </is>
      </c>
      <c r="C26" s="35" t="inlineStr">
        <is>
          <t>MIN</t>
        </is>
      </c>
      <c r="D26" s="35" t="inlineStr">
        <is>
          <t>DET</t>
        </is>
      </c>
      <c r="E26" s="37" t="n">
        <v>6000</v>
      </c>
      <c r="F26" s="38" t="n"/>
      <c r="G26" s="54" t="n">
        <v>140</v>
      </c>
      <c r="H26" s="38" t="n"/>
      <c r="I26" s="38" t="n"/>
      <c r="J26" s="39" t="n">
        <v>0.4167</v>
      </c>
      <c r="K26" s="39" t="n">
        <v>2.5</v>
      </c>
      <c r="L26" s="39" t="n">
        <v>10.5</v>
      </c>
      <c r="M26" s="40" t="n">
        <v>5.7</v>
      </c>
      <c r="N26" s="40" t="n">
        <v>0.95</v>
      </c>
      <c r="O26" s="41" t="n">
        <v>0.0039</v>
      </c>
    </row>
    <row r="27">
      <c r="A27" s="42" t="n">
        <v>23</v>
      </c>
      <c r="B27" s="43" t="inlineStr">
        <is>
          <t>Blake Corum</t>
        </is>
      </c>
      <c r="C27" s="42" t="inlineStr">
        <is>
          <t>LAR</t>
        </is>
      </c>
      <c r="D27" s="42" t="inlineStr">
        <is>
          <t>LAC</t>
        </is>
      </c>
      <c r="E27" s="44" t="n">
        <v>5900</v>
      </c>
      <c r="F27" s="46" t="n"/>
      <c r="G27" s="54" t="n">
        <v>135</v>
      </c>
      <c r="H27" s="46" t="n"/>
      <c r="I27" s="46" t="n"/>
      <c r="J27" s="45" t="n">
        <v>0.4255</v>
      </c>
      <c r="K27" s="39" t="n">
        <v>2.55</v>
      </c>
      <c r="L27" s="45" t="n">
        <v>12.6</v>
      </c>
      <c r="M27" s="40" t="n">
        <v>6.57</v>
      </c>
      <c r="N27" s="40" t="n">
        <v>1.11</v>
      </c>
      <c r="O27" s="41" t="n">
        <v>0.008800000000000001</v>
      </c>
    </row>
    <row r="28">
      <c r="A28" s="42" t="n">
        <v>24</v>
      </c>
      <c r="B28" s="43" t="inlineStr">
        <is>
          <t>RJ Harvey</t>
        </is>
      </c>
      <c r="C28" s="42" t="inlineStr">
        <is>
          <t>DEN</t>
        </is>
      </c>
      <c r="D28" s="42" t="inlineStr">
        <is>
          <t>KC</t>
        </is>
      </c>
      <c r="E28" s="44" t="n">
        <v>5500</v>
      </c>
      <c r="F28" s="38" t="n"/>
      <c r="G28" s="54" t="n">
        <v>180</v>
      </c>
      <c r="H28" s="38" t="n"/>
      <c r="I28" s="38" t="n"/>
      <c r="J28" s="45" t="n">
        <v>0.3571</v>
      </c>
      <c r="K28" s="39" t="n">
        <v>2.14</v>
      </c>
      <c r="L28" s="45" t="n">
        <v>8.6</v>
      </c>
      <c r="M28" s="40" t="n">
        <v>4.73</v>
      </c>
      <c r="N28" s="40" t="n">
        <v>0.86</v>
      </c>
      <c r="O28" s="41" t="n">
        <v>0.001</v>
      </c>
    </row>
    <row r="29">
      <c r="A29" s="35" t="n">
        <v>25</v>
      </c>
      <c r="B29" s="36" t="inlineStr">
        <is>
          <t>Jeremiyah Love</t>
        </is>
      </c>
      <c r="C29" s="35" t="inlineStr">
        <is>
          <t>ARI</t>
        </is>
      </c>
      <c r="D29" s="35" t="inlineStr">
        <is>
          <t>DAL</t>
        </is>
      </c>
      <c r="E29" s="37" t="n">
        <v>5900</v>
      </c>
      <c r="F29" s="38" t="n"/>
      <c r="G29" s="54" t="n">
        <v>100</v>
      </c>
      <c r="H29" s="38" t="n"/>
      <c r="I29" s="38" t="n"/>
      <c r="J29" s="39" t="n">
        <v>0.5</v>
      </c>
      <c r="K29" s="39" t="n">
        <v>3</v>
      </c>
      <c r="L29" s="39" t="n">
        <v>12.4</v>
      </c>
      <c r="M29" s="40" t="n">
        <v>6.76</v>
      </c>
      <c r="N29" s="40" t="n">
        <v>1.15</v>
      </c>
      <c r="O29" s="41" t="n">
        <v>0.0102</v>
      </c>
    </row>
    <row r="30">
      <c r="A30" s="42" t="n">
        <v>26</v>
      </c>
      <c r="B30" s="43" t="inlineStr">
        <is>
          <t>Omarion Hampton</t>
        </is>
      </c>
      <c r="C30" s="42" t="inlineStr">
        <is>
          <t>LAC</t>
        </is>
      </c>
      <c r="D30" s="42" t="inlineStr">
        <is>
          <t>LAR</t>
        </is>
      </c>
      <c r="E30" s="44" t="n">
        <v>5800</v>
      </c>
      <c r="F30" s="46" t="n"/>
      <c r="G30" s="54" t="n">
        <v>205</v>
      </c>
      <c r="H30" s="46" t="n"/>
      <c r="I30" s="46" t="n"/>
      <c r="J30" s="45" t="n">
        <v>0.3279</v>
      </c>
      <c r="K30" s="39" t="n">
        <v>1.97</v>
      </c>
      <c r="L30" s="45" t="n">
        <v>8.9</v>
      </c>
      <c r="M30" s="40" t="n">
        <v>4.74</v>
      </c>
      <c r="N30" s="40" t="n">
        <v>0.82</v>
      </c>
      <c r="O30" s="41" t="n">
        <v>0.0009</v>
      </c>
    </row>
    <row r="31">
      <c r="A31" s="35" t="n">
        <v>27</v>
      </c>
      <c r="B31" s="36" t="inlineStr">
        <is>
          <t>Brian Robinson Jr.</t>
        </is>
      </c>
      <c r="C31" s="35" t="inlineStr">
        <is>
          <t>ATL</t>
        </is>
      </c>
      <c r="D31" s="35" t="inlineStr">
        <is>
          <t>TB</t>
        </is>
      </c>
      <c r="E31" s="37" t="n">
        <v>5300</v>
      </c>
      <c r="F31" s="38" t="n"/>
      <c r="G31" s="54" t="n">
        <v>300</v>
      </c>
      <c r="H31" s="38" t="n"/>
      <c r="I31" s="38" t="n"/>
      <c r="J31" s="39" t="n">
        <v>0.25</v>
      </c>
      <c r="K31" s="39" t="n">
        <v>1.5</v>
      </c>
      <c r="L31" s="39" t="n">
        <v>6.4</v>
      </c>
      <c r="M31" s="40" t="n">
        <v>3.46</v>
      </c>
      <c r="N31" s="40" t="n">
        <v>0.65</v>
      </c>
      <c r="O31" s="41" t="n">
        <v>0</v>
      </c>
    </row>
    <row r="32">
      <c r="A32" s="42" t="n">
        <v>28</v>
      </c>
      <c r="B32" s="43" t="inlineStr">
        <is>
          <t>Audric Estime</t>
        </is>
      </c>
      <c r="C32" s="42" t="inlineStr">
        <is>
          <t>CLE</t>
        </is>
      </c>
      <c r="D32" s="42" t="inlineStr">
        <is>
          <t>PIT</t>
        </is>
      </c>
      <c r="E32" s="44" t="n">
        <v>4300</v>
      </c>
      <c r="F32" s="38" t="n"/>
      <c r="G32" s="54" t="n">
        <v>900</v>
      </c>
      <c r="H32" s="46" t="n"/>
      <c r="I32" s="46" t="n"/>
      <c r="J32" s="45" t="n">
        <v>0.1</v>
      </c>
      <c r="K32" s="39" t="n">
        <v>0.6</v>
      </c>
      <c r="L32" s="45" t="n">
        <v>0</v>
      </c>
      <c r="M32" s="40" t="n">
        <v>0.6</v>
      </c>
      <c r="N32" s="40" t="n">
        <v>0.14</v>
      </c>
      <c r="O32" s="41" t="n">
        <v>0</v>
      </c>
    </row>
    <row r="33">
      <c r="A33" s="35" t="n">
        <v>29</v>
      </c>
      <c r="B33" s="36" t="inlineStr">
        <is>
          <t>J.K. Dobbins</t>
        </is>
      </c>
      <c r="C33" s="35" t="inlineStr">
        <is>
          <t>DEN</t>
        </is>
      </c>
      <c r="D33" s="35" t="inlineStr">
        <is>
          <t>KC</t>
        </is>
      </c>
      <c r="E33" s="37" t="n">
        <v>5700</v>
      </c>
      <c r="F33" s="38" t="n"/>
      <c r="G33" s="54" t="n">
        <v>140</v>
      </c>
      <c r="H33" s="38" t="n"/>
      <c r="I33" s="38" t="n"/>
      <c r="J33" s="39" t="n">
        <v>0.4167</v>
      </c>
      <c r="K33" s="39" t="n">
        <v>2.5</v>
      </c>
      <c r="L33" s="39" t="n">
        <v>6.9</v>
      </c>
      <c r="M33" s="40" t="n">
        <v>4.26</v>
      </c>
      <c r="N33" s="40" t="n">
        <v>0.75</v>
      </c>
      <c r="O33" s="41" t="n">
        <v>0.0002</v>
      </c>
    </row>
    <row r="34">
      <c r="A34" s="35" t="n">
        <v>30</v>
      </c>
      <c r="B34" s="36" t="inlineStr">
        <is>
          <t>Trey Benson</t>
        </is>
      </c>
      <c r="C34" s="35" t="inlineStr">
        <is>
          <t>ARI</t>
        </is>
      </c>
      <c r="D34" s="35" t="inlineStr">
        <is>
          <t>DAL</t>
        </is>
      </c>
      <c r="E34" s="37" t="n">
        <v>4000</v>
      </c>
      <c r="F34" s="38" t="n"/>
      <c r="G34" s="54" t="n"/>
      <c r="H34" s="38" t="n"/>
      <c r="I34" s="38" t="n"/>
      <c r="J34" s="39" t="n">
        <v>0.1667</v>
      </c>
      <c r="K34" s="39" t="n">
        <v>0</v>
      </c>
      <c r="L34" s="39" t="n">
        <v>0</v>
      </c>
      <c r="M34" s="40" t="n">
        <v>0</v>
      </c>
      <c r="N34" s="40" t="n">
        <v>0</v>
      </c>
      <c r="O34" s="41" t="n">
        <v>0.08</v>
      </c>
    </row>
    <row r="35">
      <c r="A35" s="35" t="n">
        <v>31</v>
      </c>
      <c r="B35" s="36" t="inlineStr">
        <is>
          <t>Jonah Coleman</t>
        </is>
      </c>
      <c r="C35" s="35" t="inlineStr">
        <is>
          <t>DEN</t>
        </is>
      </c>
      <c r="D35" s="35" t="inlineStr">
        <is>
          <t>KC</t>
        </is>
      </c>
      <c r="E35" s="37" t="n">
        <v>5300</v>
      </c>
      <c r="F35" s="46" t="n"/>
      <c r="G35" s="54" t="n">
        <v>350</v>
      </c>
      <c r="H35" s="38" t="n"/>
      <c r="I35" s="38" t="n"/>
      <c r="J35" s="39" t="n">
        <v>0.2222</v>
      </c>
      <c r="K35" s="39" t="n">
        <v>1.33</v>
      </c>
      <c r="L35" s="39" t="n">
        <v>8.199999999999999</v>
      </c>
      <c r="M35" s="40" t="n">
        <v>4.08</v>
      </c>
      <c r="N35" s="40" t="n">
        <v>0.77</v>
      </c>
      <c r="O35" s="41" t="n">
        <v>0</v>
      </c>
    </row>
    <row r="36">
      <c r="A36" s="35" t="n">
        <v>32</v>
      </c>
      <c r="B36" s="36" t="inlineStr">
        <is>
          <t>De'Von Achane</t>
        </is>
      </c>
      <c r="C36" s="35" t="inlineStr">
        <is>
          <t>MIA</t>
        </is>
      </c>
      <c r="D36" s="35" t="inlineStr">
        <is>
          <t>NE</t>
        </is>
      </c>
      <c r="E36" s="37" t="n">
        <v>4000</v>
      </c>
      <c r="F36" s="38" t="n"/>
      <c r="G36" s="54" t="n"/>
      <c r="H36" s="38" t="n"/>
      <c r="I36" s="46" t="n"/>
      <c r="J36" s="39" t="n">
        <v>0.2083</v>
      </c>
      <c r="K36" s="39" t="n">
        <v>0</v>
      </c>
      <c r="L36" s="39" t="n">
        <v>0</v>
      </c>
      <c r="M36" s="40" t="n">
        <v>0</v>
      </c>
      <c r="N36" s="40" t="n">
        <v>0</v>
      </c>
      <c r="O36" s="41" t="n">
        <v>0.08</v>
      </c>
    </row>
    <row r="37">
      <c r="A37" s="42" t="n">
        <v>33</v>
      </c>
      <c r="B37" s="43" t="inlineStr">
        <is>
          <t>Kimani Vidal</t>
        </is>
      </c>
      <c r="C37" s="42" t="inlineStr">
        <is>
          <t>LAC</t>
        </is>
      </c>
      <c r="D37" s="42" t="inlineStr">
        <is>
          <t>LAR</t>
        </is>
      </c>
      <c r="E37" s="44" t="n">
        <v>5100</v>
      </c>
      <c r="F37" s="38" t="n"/>
      <c r="G37" s="54" t="n">
        <v>300</v>
      </c>
      <c r="H37" s="46" t="n"/>
      <c r="I37" s="46" t="n"/>
      <c r="J37" s="45" t="n">
        <v>0.25</v>
      </c>
      <c r="K37" s="39" t="n">
        <v>1.5</v>
      </c>
      <c r="L37" s="45" t="n">
        <v>8.199999999999999</v>
      </c>
      <c r="M37" s="40" t="n">
        <v>4.18</v>
      </c>
      <c r="N37" s="40" t="n">
        <v>0.82</v>
      </c>
      <c r="O37" s="41" t="n">
        <v>0.0001</v>
      </c>
    </row>
    <row r="38">
      <c r="A38" s="42" t="n">
        <v>34</v>
      </c>
      <c r="B38" s="43" t="inlineStr">
        <is>
          <t>Isiah Pacheco</t>
        </is>
      </c>
      <c r="C38" s="42" t="inlineStr">
        <is>
          <t>DET</t>
        </is>
      </c>
      <c r="D38" s="42" t="inlineStr">
        <is>
          <t>MIN</t>
        </is>
      </c>
      <c r="E38" s="44" t="n">
        <v>4000</v>
      </c>
      <c r="F38" s="38" t="n"/>
      <c r="G38" s="54" t="n"/>
      <c r="H38" s="38" t="n"/>
      <c r="I38" s="38" t="n"/>
      <c r="J38" s="45" t="n">
        <v>0.2128</v>
      </c>
      <c r="K38" s="39" t="n">
        <v>0</v>
      </c>
      <c r="L38" s="45" t="n">
        <v>0</v>
      </c>
      <c r="M38" s="40" t="n">
        <v>0</v>
      </c>
      <c r="N38" s="40" t="n">
        <v>0</v>
      </c>
      <c r="O38" s="41" t="n">
        <v>0.08</v>
      </c>
    </row>
    <row r="39">
      <c r="A39" s="42" t="n">
        <v>35</v>
      </c>
      <c r="B39" s="43" t="inlineStr">
        <is>
          <t>Tyler Allgeier</t>
        </is>
      </c>
      <c r="C39" s="42" t="inlineStr">
        <is>
          <t>ARI</t>
        </is>
      </c>
      <c r="D39" s="42" t="inlineStr">
        <is>
          <t>DAL</t>
        </is>
      </c>
      <c r="E39" s="44" t="n">
        <v>5700</v>
      </c>
      <c r="F39" s="46" t="n"/>
      <c r="G39" s="54" t="n">
        <v>170</v>
      </c>
      <c r="H39" s="46" t="n"/>
      <c r="I39" s="46" t="n"/>
      <c r="J39" s="45" t="n">
        <v>0.3704</v>
      </c>
      <c r="K39" s="39" t="n">
        <v>2.22</v>
      </c>
      <c r="L39" s="45" t="n">
        <v>8.5</v>
      </c>
      <c r="M39" s="40" t="n">
        <v>4.73</v>
      </c>
      <c r="N39" s="40" t="n">
        <v>0.83</v>
      </c>
      <c r="O39" s="41" t="n">
        <v>0.0009</v>
      </c>
    </row>
    <row r="40">
      <c r="A40" s="42" t="n">
        <v>36</v>
      </c>
      <c r="B40" s="43" t="inlineStr">
        <is>
          <t>Samaje Perine</t>
        </is>
      </c>
      <c r="C40" s="42" t="inlineStr">
        <is>
          <t>CIN</t>
        </is>
      </c>
      <c r="D40" s="42" t="inlineStr">
        <is>
          <t>TEN</t>
        </is>
      </c>
      <c r="E40" s="44" t="n">
        <v>5000</v>
      </c>
      <c r="F40" s="38" t="n"/>
      <c r="G40" s="54" t="n">
        <v>220</v>
      </c>
      <c r="H40" s="38" t="n"/>
      <c r="I40" s="38" t="n"/>
      <c r="J40" s="45" t="n">
        <v>0.3125</v>
      </c>
      <c r="K40" s="39" t="n">
        <v>1.88</v>
      </c>
      <c r="L40" s="45" t="n">
        <v>7.7</v>
      </c>
      <c r="M40" s="40" t="n">
        <v>4.21</v>
      </c>
      <c r="N40" s="40" t="n">
        <v>0.84</v>
      </c>
      <c r="O40" s="41" t="n">
        <v>0.0001</v>
      </c>
    </row>
    <row r="41">
      <c r="A41" s="35" t="n">
        <v>37</v>
      </c>
      <c r="B41" s="36" t="inlineStr">
        <is>
          <t>Ty Johnson</t>
        </is>
      </c>
      <c r="C41" s="35" t="inlineStr">
        <is>
          <t>BUF</t>
        </is>
      </c>
      <c r="D41" s="35" t="inlineStr">
        <is>
          <t>BAL</t>
        </is>
      </c>
      <c r="E41" s="37" t="n">
        <v>5000</v>
      </c>
      <c r="F41" s="38" t="n"/>
      <c r="G41" s="54" t="n">
        <v>450</v>
      </c>
      <c r="H41" s="38" t="n"/>
      <c r="I41" s="38" t="n"/>
      <c r="J41" s="39" t="n">
        <v>0.1818</v>
      </c>
      <c r="K41" s="39" t="n">
        <v>1.09</v>
      </c>
      <c r="L41" s="39" t="n">
        <v>5.7</v>
      </c>
      <c r="M41" s="40" t="n">
        <v>2.93</v>
      </c>
      <c r="N41" s="40" t="n">
        <v>0.59</v>
      </c>
      <c r="O41" s="41" t="n">
        <v>0</v>
      </c>
    </row>
    <row r="42">
      <c r="A42" s="35" t="n">
        <v>38</v>
      </c>
      <c r="B42" s="36" t="inlineStr">
        <is>
          <t>Rico Dowdle</t>
        </is>
      </c>
      <c r="C42" s="35" t="inlineStr">
        <is>
          <t>PIT</t>
        </is>
      </c>
      <c r="D42" s="35" t="inlineStr">
        <is>
          <t>CLE</t>
        </is>
      </c>
      <c r="E42" s="37" t="n">
        <v>5400</v>
      </c>
      <c r="F42" s="38" t="n"/>
      <c r="G42" s="54" t="n">
        <v>270</v>
      </c>
      <c r="H42" s="46" t="n"/>
      <c r="I42" s="46" t="n"/>
      <c r="J42" s="39" t="n">
        <v>0.2703</v>
      </c>
      <c r="K42" s="39" t="n">
        <v>1.62</v>
      </c>
      <c r="L42" s="39" t="n">
        <v>9.5</v>
      </c>
      <c r="M42" s="40" t="n">
        <v>4.77</v>
      </c>
      <c r="N42" s="40" t="n">
        <v>0.88</v>
      </c>
      <c r="O42" s="41" t="n">
        <v>0.0011</v>
      </c>
    </row>
    <row r="43">
      <c r="A43" s="42" t="n">
        <v>39</v>
      </c>
      <c r="B43" s="43" t="inlineStr">
        <is>
          <t>TreVeyon Henderson</t>
        </is>
      </c>
      <c r="C43" s="42" t="inlineStr">
        <is>
          <t>NE</t>
        </is>
      </c>
      <c r="D43" s="42" t="inlineStr">
        <is>
          <t>MIA</t>
        </is>
      </c>
      <c r="E43" s="44" t="n">
        <v>5400</v>
      </c>
      <c r="F43" s="46" t="n"/>
      <c r="G43" s="54" t="n">
        <v>260</v>
      </c>
      <c r="H43" s="46" t="n"/>
      <c r="I43" s="46" t="n"/>
      <c r="J43" s="45" t="n">
        <v>0.2778</v>
      </c>
      <c r="K43" s="39" t="n">
        <v>1.67</v>
      </c>
      <c r="L43" s="45" t="n">
        <v>7</v>
      </c>
      <c r="M43" s="40" t="n">
        <v>3.8</v>
      </c>
      <c r="N43" s="40" t="n">
        <v>0.7</v>
      </c>
      <c r="O43" s="41" t="n">
        <v>0</v>
      </c>
    </row>
    <row r="44">
      <c r="A44" s="42" t="n">
        <v>40</v>
      </c>
      <c r="B44" s="43" t="inlineStr">
        <is>
          <t>Keaton Mitchell</t>
        </is>
      </c>
      <c r="C44" s="42" t="inlineStr">
        <is>
          <t>LAC</t>
        </is>
      </c>
      <c r="D44" s="42" t="inlineStr">
        <is>
          <t>LAR</t>
        </is>
      </c>
      <c r="E44" s="44" t="n">
        <v>4900</v>
      </c>
      <c r="F44" s="46" t="n"/>
      <c r="G44" s="54" t="n">
        <v>350</v>
      </c>
      <c r="H44" s="38" t="n"/>
      <c r="I44" s="38" t="n"/>
      <c r="J44" s="45" t="n">
        <v>0.2222</v>
      </c>
      <c r="K44" s="39" t="n">
        <v>1.33</v>
      </c>
      <c r="L44" s="45" t="n">
        <v>5.8</v>
      </c>
      <c r="M44" s="40" t="n">
        <v>3.12</v>
      </c>
      <c r="N44" s="40" t="n">
        <v>0.64</v>
      </c>
      <c r="O44" s="41" t="n">
        <v>0</v>
      </c>
    </row>
    <row r="45">
      <c r="A45" s="35" t="n">
        <v>41</v>
      </c>
      <c r="B45" s="36" t="inlineStr">
        <is>
          <t>Sean Tucker</t>
        </is>
      </c>
      <c r="C45" s="35" t="inlineStr">
        <is>
          <t>TB</t>
        </is>
      </c>
      <c r="D45" s="35" t="inlineStr">
        <is>
          <t>ATL</t>
        </is>
      </c>
      <c r="E45" s="37" t="n">
        <v>4400</v>
      </c>
      <c r="F45" s="38" t="n"/>
      <c r="G45" s="54" t="n">
        <v>350</v>
      </c>
      <c r="H45" s="38" t="n"/>
      <c r="I45" s="38" t="n"/>
      <c r="J45" s="39" t="n">
        <v>0.2222</v>
      </c>
      <c r="K45" s="39" t="n">
        <v>1.33</v>
      </c>
      <c r="L45" s="39" t="n">
        <v>2.1</v>
      </c>
      <c r="M45" s="40" t="n">
        <v>1.64</v>
      </c>
      <c r="N45" s="40" t="n">
        <v>0.37</v>
      </c>
      <c r="O45" s="41" t="n">
        <v>0</v>
      </c>
    </row>
    <row r="46">
      <c r="A46" s="42" t="n">
        <v>42</v>
      </c>
      <c r="B46" s="43" t="inlineStr">
        <is>
          <t>Chris Rodriguez Jr.</t>
        </is>
      </c>
      <c r="C46" s="42" t="inlineStr">
        <is>
          <t>JAC</t>
        </is>
      </c>
      <c r="D46" s="42" t="inlineStr">
        <is>
          <t>IND</t>
        </is>
      </c>
      <c r="E46" s="44" t="n">
        <v>5200</v>
      </c>
      <c r="F46" s="46" t="n"/>
      <c r="G46" s="54" t="n">
        <v>130</v>
      </c>
      <c r="H46" s="46" t="n"/>
      <c r="I46" s="46" t="n"/>
      <c r="J46" s="45" t="n">
        <v>0.4348</v>
      </c>
      <c r="K46" s="39" t="n">
        <v>2.61</v>
      </c>
      <c r="L46" s="45" t="n">
        <v>7.2</v>
      </c>
      <c r="M46" s="40" t="n">
        <v>4.45</v>
      </c>
      <c r="N46" s="40" t="n">
        <v>0.85</v>
      </c>
      <c r="O46" s="41" t="n">
        <v>0.0005</v>
      </c>
    </row>
    <row r="47">
      <c r="A47" s="35" t="n">
        <v>43</v>
      </c>
      <c r="B47" s="36" t="inlineStr">
        <is>
          <t>Malik Davis</t>
        </is>
      </c>
      <c r="C47" s="35" t="inlineStr">
        <is>
          <t>DAL</t>
        </is>
      </c>
      <c r="D47" s="35" t="inlineStr">
        <is>
          <t>ARI</t>
        </is>
      </c>
      <c r="E47" s="37" t="n">
        <v>4000</v>
      </c>
      <c r="F47" s="38" t="n"/>
      <c r="G47" s="54" t="n"/>
      <c r="H47" s="38" t="n"/>
      <c r="I47" s="38" t="n"/>
      <c r="J47" s="39" t="n">
        <v>0.16</v>
      </c>
      <c r="K47" s="39" t="n">
        <v>0</v>
      </c>
      <c r="L47" s="39" t="n">
        <v>0</v>
      </c>
      <c r="M47" s="40" t="n">
        <v>0</v>
      </c>
      <c r="N47" s="40" t="n">
        <v>0</v>
      </c>
      <c r="O47" s="41" t="n">
        <v>0.08</v>
      </c>
    </row>
    <row r="48">
      <c r="A48" s="35" t="n">
        <v>44</v>
      </c>
      <c r="B48" s="36" t="inlineStr">
        <is>
          <t>Kenny Gainwell</t>
        </is>
      </c>
      <c r="C48" s="35" t="inlineStr">
        <is>
          <t>TB</t>
        </is>
      </c>
      <c r="D48" s="35" t="inlineStr">
        <is>
          <t>ATL</t>
        </is>
      </c>
      <c r="E48" s="37" t="n">
        <v>5200</v>
      </c>
      <c r="F48" s="38" t="n"/>
      <c r="G48" s="54" t="n">
        <v>300</v>
      </c>
      <c r="H48" s="38" t="n"/>
      <c r="I48" s="38" t="n"/>
      <c r="J48" s="39" t="n">
        <v>0.25</v>
      </c>
      <c r="K48" s="39" t="n">
        <v>1.5</v>
      </c>
      <c r="L48" s="39" t="n">
        <v>7.9</v>
      </c>
      <c r="M48" s="40" t="n">
        <v>4.06</v>
      </c>
      <c r="N48" s="40" t="n">
        <v>0.78</v>
      </c>
      <c r="O48" s="41" t="n">
        <v>0</v>
      </c>
    </row>
    <row r="49">
      <c r="A49" s="42" t="n">
        <v>45</v>
      </c>
      <c r="B49" s="43" t="inlineStr">
        <is>
          <t>Dylan Sampson</t>
        </is>
      </c>
      <c r="C49" s="42" t="inlineStr">
        <is>
          <t>CLE</t>
        </is>
      </c>
      <c r="D49" s="42" t="inlineStr">
        <is>
          <t>PIT</t>
        </is>
      </c>
      <c r="E49" s="44" t="n">
        <v>5200</v>
      </c>
      <c r="F49" s="38" t="n"/>
      <c r="G49" s="54" t="n">
        <v>600</v>
      </c>
      <c r="H49" s="46" t="n"/>
      <c r="I49" s="46" t="n"/>
      <c r="J49" s="45" t="n">
        <v>0.1429</v>
      </c>
      <c r="K49" s="39" t="n">
        <v>0.86</v>
      </c>
      <c r="L49" s="45" t="n">
        <v>6.4</v>
      </c>
      <c r="M49" s="40" t="n">
        <v>3.07</v>
      </c>
      <c r="N49" s="40" t="n">
        <v>0.59</v>
      </c>
      <c r="O49" s="41" t="n">
        <v>0</v>
      </c>
    </row>
    <row r="50">
      <c r="A50" s="42" t="n">
        <v>46</v>
      </c>
      <c r="B50" s="43" t="inlineStr">
        <is>
          <t>Bam Knight</t>
        </is>
      </c>
      <c r="C50" s="42" t="inlineStr">
        <is>
          <t>ARI</t>
        </is>
      </c>
      <c r="D50" s="42" t="inlineStr">
        <is>
          <t>DAL</t>
        </is>
      </c>
      <c r="E50" s="44" t="n">
        <v>5600</v>
      </c>
      <c r="F50" s="46" t="n"/>
      <c r="G50" s="47" t="n"/>
      <c r="H50" s="46" t="n"/>
      <c r="I50" s="46" t="n"/>
      <c r="J50" s="48">
        <f>IF(OR(ISBLANK(G50), NOT(ISNUMBER(G50))), "", IF(G50 &lt; 0, -G50 / (-G50 + 100), 100 / (G50 + 100)))</f>
        <v/>
      </c>
      <c r="K50" s="39" t="n">
        <v>0</v>
      </c>
      <c r="L50" s="45" t="n">
        <v>0</v>
      </c>
      <c r="M50" s="40" t="n">
        <v>0</v>
      </c>
      <c r="N50" s="40" t="n">
        <v>0</v>
      </c>
      <c r="O50" s="41" t="n">
        <v>0.08</v>
      </c>
    </row>
    <row r="51">
      <c r="A51" s="42" t="n">
        <v>47</v>
      </c>
      <c r="B51" s="43" t="inlineStr">
        <is>
          <t>Justice Hill</t>
        </is>
      </c>
      <c r="C51" s="42" t="inlineStr">
        <is>
          <t>BAL</t>
        </is>
      </c>
      <c r="D51" s="42" t="inlineStr">
        <is>
          <t>BUF</t>
        </is>
      </c>
      <c r="E51" s="44" t="n">
        <v>4900</v>
      </c>
      <c r="F51" s="46" t="n"/>
      <c r="G51" s="54" t="n">
        <v>600</v>
      </c>
      <c r="H51" s="46" t="n"/>
      <c r="I51" s="46" t="n"/>
      <c r="J51" s="45" t="n">
        <v>0.1429</v>
      </c>
      <c r="K51" s="39" t="n">
        <v>0.86</v>
      </c>
      <c r="L51" s="45" t="n">
        <v>6.4</v>
      </c>
      <c r="M51" s="40" t="n">
        <v>3.07</v>
      </c>
      <c r="N51" s="40" t="n">
        <v>0.63</v>
      </c>
      <c r="O51" s="41" t="n">
        <v>0</v>
      </c>
    </row>
    <row r="52">
      <c r="A52" s="35" t="n">
        <v>48</v>
      </c>
      <c r="B52" s="36" t="inlineStr">
        <is>
          <t>Mike Washington Jr.</t>
        </is>
      </c>
      <c r="C52" s="35" t="inlineStr">
        <is>
          <t>LV</t>
        </is>
      </c>
      <c r="D52" s="35" t="inlineStr">
        <is>
          <t>NYJ</t>
        </is>
      </c>
      <c r="E52" s="37" t="n">
        <v>5000</v>
      </c>
      <c r="F52" s="46" t="n"/>
      <c r="G52" s="54" t="n">
        <v>240</v>
      </c>
      <c r="H52" s="46" t="n"/>
      <c r="I52" s="46" t="n"/>
      <c r="J52" s="39" t="n">
        <v>0.2941</v>
      </c>
      <c r="K52" s="39" t="n">
        <v>1.76</v>
      </c>
      <c r="L52" s="39" t="n">
        <v>7.7</v>
      </c>
      <c r="M52" s="40" t="n">
        <v>4.14</v>
      </c>
      <c r="N52" s="40" t="n">
        <v>0.83</v>
      </c>
      <c r="O52" s="41" t="n">
        <v>0.0001</v>
      </c>
    </row>
    <row r="53">
      <c r="A53" s="50" t="n">
        <v>49</v>
      </c>
      <c r="B53" s="51" t="inlineStr">
        <is>
          <t>Emmett Johnson</t>
        </is>
      </c>
      <c r="C53" s="50" t="inlineStr">
        <is>
          <t>KC</t>
        </is>
      </c>
      <c r="D53" s="50" t="inlineStr">
        <is>
          <t>DEN</t>
        </is>
      </c>
      <c r="E53" s="52" t="n">
        <v>5100</v>
      </c>
      <c r="F53" s="40" t="n"/>
      <c r="G53" s="55" t="n">
        <v>700</v>
      </c>
      <c r="H53" s="40" t="n"/>
      <c r="I53" s="40" t="n"/>
      <c r="J53" s="40" t="n">
        <v>0.125</v>
      </c>
      <c r="K53" s="40" t="n">
        <v>0.75</v>
      </c>
      <c r="L53" s="40" t="n">
        <v>4.8</v>
      </c>
      <c r="M53" s="40" t="n">
        <v>2.37</v>
      </c>
      <c r="N53" s="40" t="n">
        <v>0.46</v>
      </c>
      <c r="O53" s="41" t="n">
        <v>0</v>
      </c>
    </row>
    <row r="54">
      <c r="A54" s="50" t="n">
        <v>50</v>
      </c>
      <c r="B54" s="51" t="inlineStr">
        <is>
          <t>Jaret Patterson</t>
        </is>
      </c>
      <c r="C54" s="50" t="inlineStr">
        <is>
          <t>CLE</t>
        </is>
      </c>
      <c r="D54" s="50" t="inlineStr">
        <is>
          <t>PIT</t>
        </is>
      </c>
      <c r="E54" s="52" t="n">
        <v>4000</v>
      </c>
      <c r="F54" s="40" t="n"/>
      <c r="G54" s="55" t="n"/>
      <c r="H54" s="40" t="n"/>
      <c r="I54" s="40" t="n"/>
      <c r="J54" s="40" t="n">
        <v>0.1905</v>
      </c>
      <c r="K54" s="40" t="n">
        <v>0</v>
      </c>
      <c r="L54" s="40" t="n">
        <v>0</v>
      </c>
      <c r="M54" s="40" t="n">
        <v>0</v>
      </c>
      <c r="N54" s="40" t="n">
        <v>0</v>
      </c>
      <c r="O54" s="41" t="n">
        <v>0.08</v>
      </c>
    </row>
    <row r="55">
      <c r="A55" s="50" t="n">
        <v>51</v>
      </c>
      <c r="B55" s="51" t="inlineStr">
        <is>
          <t>Raheim Sanders</t>
        </is>
      </c>
      <c r="C55" s="50" t="inlineStr">
        <is>
          <t>CLE</t>
        </is>
      </c>
      <c r="D55" s="50" t="inlineStr">
        <is>
          <t>PIT</t>
        </is>
      </c>
      <c r="E55" s="52" t="n">
        <v>4000</v>
      </c>
      <c r="F55" s="40" t="n"/>
      <c r="G55" s="55" t="n"/>
      <c r="H55" s="53" t="n"/>
      <c r="I55" s="53" t="n"/>
      <c r="J55" s="40" t="n">
        <v>0.1429</v>
      </c>
      <c r="K55" s="40" t="n">
        <v>0</v>
      </c>
      <c r="L55" s="40" t="n">
        <v>0</v>
      </c>
      <c r="M55" s="40" t="n">
        <v>0</v>
      </c>
      <c r="N55" s="40" t="n">
        <v>0</v>
      </c>
      <c r="O55" s="41" t="n">
        <v>0.08</v>
      </c>
    </row>
    <row r="56">
      <c r="A56" s="50" t="n">
        <v>52</v>
      </c>
      <c r="B56" s="51" t="inlineStr">
        <is>
          <t>Khalil Herbert</t>
        </is>
      </c>
      <c r="C56" s="50" t="inlineStr">
        <is>
          <t>ATL</t>
        </is>
      </c>
      <c r="D56" s="50" t="inlineStr">
        <is>
          <t>TB</t>
        </is>
      </c>
      <c r="E56" s="52" t="n">
        <v>4400</v>
      </c>
      <c r="F56" s="53" t="n"/>
      <c r="G56" s="55" t="n"/>
      <c r="H56" s="53" t="n"/>
      <c r="I56" s="53" t="n"/>
      <c r="J56" s="40" t="n">
        <v>0.0435</v>
      </c>
      <c r="K56" s="40" t="n">
        <v>0</v>
      </c>
      <c r="L56" s="40" t="n">
        <v>0</v>
      </c>
      <c r="M56" s="40" t="n">
        <v>0</v>
      </c>
      <c r="N56" s="40" t="n">
        <v>0</v>
      </c>
      <c r="O56" s="41" t="n">
        <v>0.08</v>
      </c>
    </row>
    <row r="57">
      <c r="A57" s="50" t="n">
        <v>53</v>
      </c>
      <c r="B57" s="51" t="inlineStr">
        <is>
          <t>Tyjae Spears</t>
        </is>
      </c>
      <c r="C57" s="50" t="inlineStr">
        <is>
          <t>TEN</t>
        </is>
      </c>
      <c r="D57" s="50" t="inlineStr">
        <is>
          <t>CIN</t>
        </is>
      </c>
      <c r="E57" s="52" t="n">
        <v>4800</v>
      </c>
      <c r="F57" s="53" t="n"/>
      <c r="G57" s="55" t="n">
        <v>400</v>
      </c>
      <c r="H57" s="53" t="n"/>
      <c r="I57" s="53" t="n"/>
      <c r="J57" s="40" t="n">
        <v>0.2</v>
      </c>
      <c r="K57" s="40" t="n">
        <v>1.2</v>
      </c>
      <c r="L57" s="40" t="n">
        <v>6.6</v>
      </c>
      <c r="M57" s="40" t="n">
        <v>3.36</v>
      </c>
      <c r="N57" s="40" t="n">
        <v>0.7</v>
      </c>
      <c r="O57" s="41" t="n">
        <v>0</v>
      </c>
    </row>
    <row r="58">
      <c r="A58" s="50" t="n">
        <v>54</v>
      </c>
      <c r="B58" s="51" t="inlineStr">
        <is>
          <t>Ronnie Rivers</t>
        </is>
      </c>
      <c r="C58" s="50" t="inlineStr">
        <is>
          <t>LAR</t>
        </is>
      </c>
      <c r="D58" s="50" t="inlineStr">
        <is>
          <t>LAC</t>
        </is>
      </c>
      <c r="E58" s="52" t="n">
        <v>4000</v>
      </c>
      <c r="F58" s="40" t="n"/>
      <c r="G58" s="55" t="n"/>
      <c r="H58" s="53" t="n"/>
      <c r="I58" s="53" t="n"/>
      <c r="J58" s="40" t="n">
        <v>0.2174</v>
      </c>
      <c r="K58" s="40" t="n">
        <v>0</v>
      </c>
      <c r="L58" s="40" t="n">
        <v>0</v>
      </c>
      <c r="M58" s="40" t="n">
        <v>0</v>
      </c>
      <c r="N58" s="40" t="n">
        <v>0</v>
      </c>
      <c r="O58" s="41" t="n">
        <v>0.08</v>
      </c>
    </row>
    <row r="59">
      <c r="A59" s="50" t="n">
        <v>55</v>
      </c>
      <c r="B59" s="51" t="inlineStr">
        <is>
          <t>Tyler Badie</t>
        </is>
      </c>
      <c r="C59" s="50" t="inlineStr">
        <is>
          <t>DEN</t>
        </is>
      </c>
      <c r="D59" s="50" t="inlineStr">
        <is>
          <t>KC</t>
        </is>
      </c>
      <c r="E59" s="52" t="n">
        <v>4400</v>
      </c>
      <c r="F59" s="40" t="n"/>
      <c r="G59" s="55" t="n"/>
      <c r="H59" s="53" t="n"/>
      <c r="I59" s="53" t="n"/>
      <c r="J59" s="40" t="n">
        <v>0.09089999999999999</v>
      </c>
      <c r="K59" s="40" t="n">
        <v>0</v>
      </c>
      <c r="L59" s="40" t="n">
        <v>0</v>
      </c>
      <c r="M59" s="40" t="n">
        <v>0</v>
      </c>
      <c r="N59" s="40" t="n">
        <v>0</v>
      </c>
      <c r="O59" s="41" t="n">
        <v>0.08</v>
      </c>
    </row>
    <row r="60">
      <c r="A60" s="50" t="n">
        <v>56</v>
      </c>
      <c r="B60" s="51" t="inlineStr">
        <is>
          <t>Jaleel McLaughlin</t>
        </is>
      </c>
      <c r="C60" s="50" t="inlineStr">
        <is>
          <t>CLE</t>
        </is>
      </c>
      <c r="D60" s="50" t="inlineStr">
        <is>
          <t>PIT</t>
        </is>
      </c>
      <c r="E60" s="52" t="n">
        <v>4800</v>
      </c>
      <c r="F60" s="53" t="n"/>
      <c r="G60" s="55" t="n">
        <v>1100</v>
      </c>
      <c r="H60" s="53" t="n"/>
      <c r="I60" s="53" t="n"/>
      <c r="J60" s="40" t="n">
        <v>0.0833</v>
      </c>
      <c r="K60" s="40" t="n">
        <v>0.5</v>
      </c>
      <c r="L60" s="40" t="n">
        <v>0</v>
      </c>
      <c r="M60" s="40" t="n">
        <v>0.5</v>
      </c>
      <c r="N60" s="40" t="n">
        <v>0.1</v>
      </c>
      <c r="O60" s="41" t="n">
        <v>0</v>
      </c>
    </row>
    <row r="61">
      <c r="A61" s="50" t="n">
        <v>57</v>
      </c>
      <c r="B61" s="51" t="inlineStr">
        <is>
          <t>Alec Ingold</t>
        </is>
      </c>
      <c r="C61" s="50" t="inlineStr">
        <is>
          <t>LAC</t>
        </is>
      </c>
      <c r="D61" s="50" t="inlineStr">
        <is>
          <t>LAR</t>
        </is>
      </c>
      <c r="E61" s="52" t="n">
        <v>4000</v>
      </c>
      <c r="F61" s="53" t="n"/>
      <c r="G61" s="53" t="n"/>
      <c r="H61" s="53" t="n"/>
      <c r="I61" s="53" t="n"/>
      <c r="J61" s="53">
        <f>IF(OR(ISBLANK(G61), NOT(ISNUMBER(G61))), "", IF(G61 &lt; 0, -G61 / (-G61 + 100), 100 / (G61 + 100)))</f>
        <v/>
      </c>
      <c r="K61" s="40" t="n">
        <v>0</v>
      </c>
      <c r="L61" s="40" t="n">
        <v>0</v>
      </c>
      <c r="M61" s="40" t="n">
        <v>0</v>
      </c>
      <c r="N61" s="40" t="n">
        <v>0</v>
      </c>
      <c r="O61" s="41" t="n">
        <v>0.08</v>
      </c>
    </row>
    <row r="62">
      <c r="A62" s="50" t="n">
        <v>58</v>
      </c>
      <c r="B62" s="51" t="inlineStr">
        <is>
          <t>Seth McGowan</t>
        </is>
      </c>
      <c r="C62" s="50" t="inlineStr">
        <is>
          <t>IND</t>
        </is>
      </c>
      <c r="D62" s="50" t="inlineStr">
        <is>
          <t>JAC</t>
        </is>
      </c>
      <c r="E62" s="52" t="n">
        <v>5300</v>
      </c>
      <c r="F62" s="53" t="n"/>
      <c r="G62" s="55" t="n">
        <v>270</v>
      </c>
      <c r="H62" s="53" t="n"/>
      <c r="I62" s="53" t="n"/>
      <c r="J62" s="40" t="n">
        <v>0.2703</v>
      </c>
      <c r="K62" s="40" t="n">
        <v>1.62</v>
      </c>
      <c r="L62" s="40" t="n">
        <v>4</v>
      </c>
      <c r="M62" s="40" t="n">
        <v>2.57</v>
      </c>
      <c r="N62" s="40" t="n">
        <v>0.49</v>
      </c>
      <c r="O62" s="41" t="n">
        <v>0</v>
      </c>
    </row>
    <row r="63">
      <c r="A63" s="50" t="n">
        <v>59</v>
      </c>
      <c r="B63" s="51" t="inlineStr">
        <is>
          <t>Jerome Ford</t>
        </is>
      </c>
      <c r="C63" s="50" t="inlineStr">
        <is>
          <t>ARI</t>
        </is>
      </c>
      <c r="D63" s="50" t="inlineStr">
        <is>
          <t>DAL</t>
        </is>
      </c>
      <c r="E63" s="52" t="n">
        <v>4000</v>
      </c>
      <c r="F63" s="53" t="n"/>
      <c r="G63" s="55" t="n"/>
      <c r="H63" s="53" t="n"/>
      <c r="I63" s="53" t="n"/>
      <c r="J63" s="40" t="n">
        <v>0.1667</v>
      </c>
      <c r="K63" s="40" t="n">
        <v>0</v>
      </c>
      <c r="L63" s="40" t="n">
        <v>0</v>
      </c>
      <c r="M63" s="40" t="n">
        <v>0</v>
      </c>
      <c r="N63" s="40" t="n">
        <v>0</v>
      </c>
      <c r="O63" s="41" t="n">
        <v>0.08</v>
      </c>
    </row>
    <row r="64">
      <c r="A64" s="50" t="n">
        <v>60</v>
      </c>
      <c r="B64" s="51" t="inlineStr">
        <is>
          <t>Corey Kiner</t>
        </is>
      </c>
      <c r="C64" s="50" t="inlineStr">
        <is>
          <t>NE</t>
        </is>
      </c>
      <c r="D64" s="50" t="inlineStr">
        <is>
          <t>MIA</t>
        </is>
      </c>
      <c r="E64" s="52" t="n">
        <v>4700</v>
      </c>
      <c r="F64" s="40" t="n"/>
      <c r="G64" s="55" t="n">
        <v>550</v>
      </c>
      <c r="H64" s="53" t="n"/>
      <c r="I64" s="53" t="n"/>
      <c r="J64" s="40" t="n">
        <v>0.1538</v>
      </c>
      <c r="K64" s="40" t="n">
        <v>0.92</v>
      </c>
      <c r="L64" s="40" t="n">
        <v>4.5</v>
      </c>
      <c r="M64" s="40" t="n">
        <v>2.35</v>
      </c>
      <c r="N64" s="40" t="n">
        <v>0.5</v>
      </c>
      <c r="O64" s="41" t="n">
        <v>0</v>
      </c>
    </row>
    <row r="65">
      <c r="A65" s="50" t="n">
        <v>61</v>
      </c>
      <c r="B65" s="51" t="inlineStr">
        <is>
          <t>Tyler Goodson</t>
        </is>
      </c>
      <c r="C65" s="50" t="inlineStr">
        <is>
          <t>DAL</t>
        </is>
      </c>
      <c r="D65" s="50" t="inlineStr">
        <is>
          <t>ARI</t>
        </is>
      </c>
      <c r="E65" s="52" t="n">
        <v>4500</v>
      </c>
      <c r="F65" s="53" t="n"/>
      <c r="G65" s="55" t="n">
        <v>700</v>
      </c>
      <c r="H65" s="53" t="n"/>
      <c r="I65" s="53" t="n"/>
      <c r="J65" s="40" t="n">
        <v>0.125</v>
      </c>
      <c r="K65" s="40" t="n">
        <v>0.75</v>
      </c>
      <c r="L65" s="40" t="n">
        <v>5.5</v>
      </c>
      <c r="M65" s="40" t="n">
        <v>2.65</v>
      </c>
      <c r="N65" s="40" t="n">
        <v>0.59</v>
      </c>
      <c r="O65" s="41" t="n">
        <v>0</v>
      </c>
    </row>
    <row r="66">
      <c r="A66" s="50" t="n">
        <v>62</v>
      </c>
      <c r="B66" s="51" t="inlineStr">
        <is>
          <t>Sione Vaki</t>
        </is>
      </c>
      <c r="C66" s="50" t="inlineStr">
        <is>
          <t>DET</t>
        </is>
      </c>
      <c r="D66" s="50" t="inlineStr">
        <is>
          <t>MIN</t>
        </is>
      </c>
      <c r="E66" s="52" t="n">
        <v>4600</v>
      </c>
      <c r="F66" s="53" t="n"/>
      <c r="G66" s="55" t="n">
        <v>950</v>
      </c>
      <c r="H66" s="53" t="n"/>
      <c r="I66" s="53" t="n"/>
      <c r="J66" s="40" t="n">
        <v>0.09520000000000001</v>
      </c>
      <c r="K66" s="40" t="n">
        <v>0.57</v>
      </c>
      <c r="L66" s="40" t="n">
        <v>3.4</v>
      </c>
      <c r="M66" s="40" t="n">
        <v>1.7</v>
      </c>
      <c r="N66" s="40" t="n">
        <v>0.37</v>
      </c>
      <c r="O66" s="41" t="n">
        <v>0</v>
      </c>
    </row>
    <row r="67">
      <c r="A67" s="50" t="n">
        <v>63</v>
      </c>
      <c r="B67" s="51" t="inlineStr">
        <is>
          <t>Isaiah Davis</t>
        </is>
      </c>
      <c r="C67" s="50" t="inlineStr">
        <is>
          <t>NYJ</t>
        </is>
      </c>
      <c r="D67" s="50" t="inlineStr">
        <is>
          <t>LV</t>
        </is>
      </c>
      <c r="E67" s="52" t="n">
        <v>5000</v>
      </c>
      <c r="F67" s="40" t="n"/>
      <c r="G67" s="55" t="n">
        <v>600</v>
      </c>
      <c r="H67" s="53" t="n"/>
      <c r="I67" s="53" t="n"/>
      <c r="J67" s="40" t="n">
        <v>0.1429</v>
      </c>
      <c r="K67" s="40" t="n">
        <v>0.86</v>
      </c>
      <c r="L67" s="40" t="n">
        <v>0</v>
      </c>
      <c r="M67" s="40" t="n">
        <v>0.86</v>
      </c>
      <c r="N67" s="40" t="n">
        <v>0.17</v>
      </c>
      <c r="O67" s="41" t="n">
        <v>0</v>
      </c>
    </row>
    <row r="68">
      <c r="A68" s="50" t="n">
        <v>64</v>
      </c>
      <c r="B68" s="51" t="inlineStr">
        <is>
          <t>Lan Larison</t>
        </is>
      </c>
      <c r="C68" s="50" t="inlineStr">
        <is>
          <t>NE</t>
        </is>
      </c>
      <c r="D68" s="50" t="inlineStr">
        <is>
          <t>MIA</t>
        </is>
      </c>
      <c r="E68" s="52" t="n">
        <v>4000</v>
      </c>
      <c r="F68" s="53" t="n"/>
      <c r="G68" s="55" t="n"/>
      <c r="H68" s="53" t="n"/>
      <c r="I68" s="53" t="n"/>
      <c r="J68" s="40" t="n">
        <v>0.0357</v>
      </c>
      <c r="K68" s="40" t="n">
        <v>0</v>
      </c>
      <c r="L68" s="40" t="n">
        <v>0</v>
      </c>
      <c r="M68" s="40" t="n">
        <v>0</v>
      </c>
      <c r="N68" s="40" t="n">
        <v>0</v>
      </c>
      <c r="O68" s="41" t="n">
        <v>0.08</v>
      </c>
    </row>
    <row r="69">
      <c r="A69" s="50" t="n">
        <v>65</v>
      </c>
      <c r="B69" s="51" t="inlineStr">
        <is>
          <t>Dylan Laube</t>
        </is>
      </c>
      <c r="C69" s="50" t="inlineStr">
        <is>
          <t>LV</t>
        </is>
      </c>
      <c r="D69" s="50" t="inlineStr">
        <is>
          <t>NYJ</t>
        </is>
      </c>
      <c r="E69" s="52" t="n">
        <v>4400</v>
      </c>
      <c r="F69" s="53" t="n"/>
      <c r="G69" s="55" t="n">
        <v>750</v>
      </c>
      <c r="H69" s="53" t="n"/>
      <c r="I69" s="53" t="n"/>
      <c r="J69" s="40" t="n">
        <v>0.1176</v>
      </c>
      <c r="K69" s="40" t="n">
        <v>0.71</v>
      </c>
      <c r="L69" s="40" t="n">
        <v>0</v>
      </c>
      <c r="M69" s="40" t="n">
        <v>0.71</v>
      </c>
      <c r="N69" s="40" t="n">
        <v>0.16</v>
      </c>
      <c r="O69" s="41" t="n">
        <v>0</v>
      </c>
    </row>
    <row r="70">
      <c r="A70" s="50" t="n">
        <v>66</v>
      </c>
      <c r="B70" s="51" t="inlineStr">
        <is>
          <t>DJ Herman</t>
        </is>
      </c>
      <c r="C70" s="50" t="inlineStr">
        <is>
          <t>MIA</t>
        </is>
      </c>
      <c r="D70" s="50" t="inlineStr">
        <is>
          <t>NE</t>
        </is>
      </c>
      <c r="E70" s="52" t="n">
        <v>4100</v>
      </c>
      <c r="F70" s="53" t="n"/>
      <c r="G70" s="55" t="n"/>
      <c r="H70" s="53" t="n"/>
      <c r="I70" s="53" t="n"/>
      <c r="J70" s="40" t="n">
        <v>0.09089999999999999</v>
      </c>
      <c r="K70" s="40" t="n">
        <v>0</v>
      </c>
      <c r="L70" s="40" t="n">
        <v>0</v>
      </c>
      <c r="M70" s="40" t="n">
        <v>0</v>
      </c>
      <c r="N70" s="40" t="n">
        <v>0</v>
      </c>
      <c r="O70" s="41" t="n">
        <v>0.08</v>
      </c>
    </row>
    <row r="71">
      <c r="A71" s="50" t="n">
        <v>67</v>
      </c>
      <c r="B71" s="51" t="inlineStr">
        <is>
          <t>Ray Davis</t>
        </is>
      </c>
      <c r="C71" s="50" t="inlineStr">
        <is>
          <t>BUF</t>
        </is>
      </c>
      <c r="D71" s="50" t="inlineStr">
        <is>
          <t>BAL</t>
        </is>
      </c>
      <c r="E71" s="52" t="n">
        <v>5000</v>
      </c>
      <c r="F71" s="40" t="n"/>
      <c r="G71" s="55" t="n">
        <v>750</v>
      </c>
      <c r="H71" s="53" t="n"/>
      <c r="I71" s="53" t="n"/>
      <c r="J71" s="40" t="n">
        <v>0.1176</v>
      </c>
      <c r="K71" s="40" t="n">
        <v>0.71</v>
      </c>
      <c r="L71" s="40" t="n">
        <v>2.1</v>
      </c>
      <c r="M71" s="40" t="n">
        <v>1.26</v>
      </c>
      <c r="N71" s="40" t="n">
        <v>0.25</v>
      </c>
      <c r="O71" s="41" t="n">
        <v>0</v>
      </c>
    </row>
    <row r="72">
      <c r="A72" s="50" t="n">
        <v>68</v>
      </c>
      <c r="B72" s="51" t="inlineStr">
        <is>
          <t>DeeJay Dallas</t>
        </is>
      </c>
      <c r="C72" s="50" t="inlineStr">
        <is>
          <t>MIN</t>
        </is>
      </c>
      <c r="D72" s="50" t="inlineStr">
        <is>
          <t>DET</t>
        </is>
      </c>
      <c r="E72" s="52" t="n">
        <v>4500</v>
      </c>
      <c r="F72" s="53" t="n"/>
      <c r="G72" s="55" t="n"/>
      <c r="H72" s="53" t="n"/>
      <c r="I72" s="53" t="n"/>
      <c r="J72" s="40" t="n">
        <v>0.0625</v>
      </c>
      <c r="K72" s="40" t="n">
        <v>0</v>
      </c>
      <c r="L72" s="40" t="n">
        <v>0</v>
      </c>
      <c r="M72" s="40" t="n">
        <v>0</v>
      </c>
      <c r="N72" s="40" t="n">
        <v>0</v>
      </c>
      <c r="O72" s="41" t="n">
        <v>0.08</v>
      </c>
    </row>
    <row r="73">
      <c r="A73" s="50" t="n">
        <v>69</v>
      </c>
      <c r="B73" s="51" t="inlineStr">
        <is>
          <t>Kaytron Allen</t>
        </is>
      </c>
      <c r="C73" s="50" t="inlineStr">
        <is>
          <t>MIA</t>
        </is>
      </c>
      <c r="D73" s="50" t="inlineStr">
        <is>
          <t>NE</t>
        </is>
      </c>
      <c r="E73" s="52" t="n">
        <v>4500</v>
      </c>
      <c r="F73" s="40" t="n"/>
      <c r="G73" s="55" t="n">
        <v>800</v>
      </c>
      <c r="H73" s="53" t="n"/>
      <c r="I73" s="53" t="n"/>
      <c r="J73" s="40" t="n">
        <v>0.1111</v>
      </c>
      <c r="K73" s="40" t="n">
        <v>0.67</v>
      </c>
      <c r="L73" s="40" t="n">
        <v>0</v>
      </c>
      <c r="M73" s="40" t="n">
        <v>0.67</v>
      </c>
      <c r="N73" s="40" t="n">
        <v>0.15</v>
      </c>
      <c r="O73" s="41" t="n">
        <v>0</v>
      </c>
    </row>
    <row r="74">
      <c r="A74" s="50" t="n">
        <v>70</v>
      </c>
      <c r="B74" s="51" t="inlineStr">
        <is>
          <t>Evan Hull</t>
        </is>
      </c>
      <c r="C74" s="50" t="inlineStr">
        <is>
          <t>ARI</t>
        </is>
      </c>
      <c r="D74" s="50" t="inlineStr">
        <is>
          <t>DAL</t>
        </is>
      </c>
      <c r="E74" s="52" t="n">
        <v>4000</v>
      </c>
      <c r="F74" s="53" t="n"/>
      <c r="G74" s="55" t="n">
        <v>2400</v>
      </c>
      <c r="H74" s="53" t="n"/>
      <c r="I74" s="53" t="n"/>
      <c r="J74" s="40" t="n">
        <v>0.04</v>
      </c>
      <c r="K74" s="40" t="n">
        <v>0.24</v>
      </c>
      <c r="L74" s="40" t="n">
        <v>0</v>
      </c>
      <c r="M74" s="40" t="n">
        <v>0.24</v>
      </c>
      <c r="N74" s="40" t="n">
        <v>0.06</v>
      </c>
      <c r="O74" s="41" t="n">
        <v>0</v>
      </c>
    </row>
    <row r="75">
      <c r="A75" s="50" t="n">
        <v>71</v>
      </c>
      <c r="B75" s="51" t="inlineStr">
        <is>
          <t>Michael Carter</t>
        </is>
      </c>
      <c r="C75" s="50" t="inlineStr">
        <is>
          <t>TEN</t>
        </is>
      </c>
      <c r="D75" s="50" t="inlineStr">
        <is>
          <t>CIN</t>
        </is>
      </c>
      <c r="E75" s="52" t="n">
        <v>4400</v>
      </c>
      <c r="F75" s="53" t="n"/>
      <c r="G75" s="55" t="n">
        <v>700</v>
      </c>
      <c r="H75" s="53" t="n"/>
      <c r="I75" s="53" t="n"/>
      <c r="J75" s="40" t="n">
        <v>0.125</v>
      </c>
      <c r="K75" s="40" t="n">
        <v>0.75</v>
      </c>
      <c r="L75" s="40" t="n">
        <v>0</v>
      </c>
      <c r="M75" s="40" t="n">
        <v>0.75</v>
      </c>
      <c r="N75" s="40" t="n">
        <v>0.17</v>
      </c>
      <c r="O75" s="41" t="n">
        <v>0</v>
      </c>
    </row>
    <row r="76">
      <c r="A76" s="50" t="n">
        <v>72</v>
      </c>
      <c r="B76" s="51" t="inlineStr">
        <is>
          <t>Ameer Abdullah</t>
        </is>
      </c>
      <c r="C76" s="50" t="inlineStr">
        <is>
          <t>JAC</t>
        </is>
      </c>
      <c r="D76" s="50" t="inlineStr">
        <is>
          <t>IND</t>
        </is>
      </c>
      <c r="E76" s="52" t="n">
        <v>4300</v>
      </c>
      <c r="F76" s="53" t="n"/>
      <c r="G76" s="55" t="n">
        <v>1000</v>
      </c>
      <c r="H76" s="53" t="n"/>
      <c r="I76" s="53" t="n"/>
      <c r="J76" s="40" t="n">
        <v>0.09089999999999999</v>
      </c>
      <c r="K76" s="40" t="n">
        <v>0.55</v>
      </c>
      <c r="L76" s="40" t="n">
        <v>0</v>
      </c>
      <c r="M76" s="40" t="n">
        <v>0.55</v>
      </c>
      <c r="N76" s="40" t="n">
        <v>0.13</v>
      </c>
      <c r="O76" s="41" t="n">
        <v>0</v>
      </c>
    </row>
    <row r="77">
      <c r="A77" s="50" t="n">
        <v>73</v>
      </c>
      <c r="B77" s="51" t="inlineStr">
        <is>
          <t>Amar Johnson</t>
        </is>
      </c>
      <c r="C77" s="50" t="inlineStr">
        <is>
          <t>LAC</t>
        </is>
      </c>
      <c r="D77" s="50" t="inlineStr">
        <is>
          <t>LAR</t>
        </is>
      </c>
      <c r="E77" s="52" t="n">
        <v>4000</v>
      </c>
      <c r="F77" s="53" t="n"/>
      <c r="G77" s="53" t="n"/>
      <c r="H77" s="53" t="n"/>
      <c r="I77" s="53" t="n"/>
      <c r="J77" s="53">
        <f>IF(OR(ISBLANK(G77), NOT(ISNUMBER(G77))), "", IF(G77 &lt; 0, -G77 / (-G77 + 100), 100 / (G77 + 100)))</f>
        <v/>
      </c>
      <c r="K77" s="40" t="n">
        <v>0</v>
      </c>
      <c r="L77" s="40" t="n">
        <v>0</v>
      </c>
      <c r="M77" s="40" t="n">
        <v>0</v>
      </c>
      <c r="N77" s="40" t="n">
        <v>0</v>
      </c>
      <c r="O77" s="41" t="n">
        <v>0.08</v>
      </c>
    </row>
    <row r="78">
      <c r="A78" s="50" t="n">
        <v>74</v>
      </c>
      <c r="B78" s="51" t="inlineStr">
        <is>
          <t>Demond Claiborne</t>
        </is>
      </c>
      <c r="C78" s="50" t="inlineStr">
        <is>
          <t>MIN</t>
        </is>
      </c>
      <c r="D78" s="50" t="inlineStr">
        <is>
          <t>DET</t>
        </is>
      </c>
      <c r="E78" s="52" t="n">
        <v>4300</v>
      </c>
      <c r="F78" s="53" t="n"/>
      <c r="G78" s="55" t="n">
        <v>700</v>
      </c>
      <c r="H78" s="53" t="n"/>
      <c r="I78" s="53" t="n"/>
      <c r="J78" s="40" t="n">
        <v>0.125</v>
      </c>
      <c r="K78" s="40" t="n">
        <v>0.75</v>
      </c>
      <c r="L78" s="40" t="n">
        <v>0</v>
      </c>
      <c r="M78" s="40" t="n">
        <v>0.75</v>
      </c>
      <c r="N78" s="40" t="n">
        <v>0.17</v>
      </c>
      <c r="O78" s="41" t="n">
        <v>0</v>
      </c>
    </row>
    <row r="79">
      <c r="A79" s="50" t="n">
        <v>75</v>
      </c>
      <c r="B79" s="51" t="inlineStr">
        <is>
          <t>Hunter Luepke</t>
        </is>
      </c>
      <c r="C79" s="50" t="inlineStr">
        <is>
          <t>DAL</t>
        </is>
      </c>
      <c r="D79" s="50" t="inlineStr">
        <is>
          <t>ARI</t>
        </is>
      </c>
      <c r="E79" s="52" t="n">
        <v>4300</v>
      </c>
      <c r="F79" s="53" t="n"/>
      <c r="G79" s="55" t="n">
        <v>800</v>
      </c>
      <c r="H79" s="53" t="n"/>
      <c r="I79" s="53" t="n"/>
      <c r="J79" s="40" t="n">
        <v>0.1111</v>
      </c>
      <c r="K79" s="40" t="n">
        <v>0.67</v>
      </c>
      <c r="L79" s="40" t="n">
        <v>1.6</v>
      </c>
      <c r="M79" s="40" t="n">
        <v>1.04</v>
      </c>
      <c r="N79" s="40" t="n">
        <v>0.24</v>
      </c>
      <c r="O79" s="41" t="n">
        <v>0</v>
      </c>
    </row>
    <row r="80">
      <c r="A80" s="50" t="n">
        <v>76</v>
      </c>
      <c r="B80" s="51" t="inlineStr">
        <is>
          <t>Jaylen Wright</t>
        </is>
      </c>
      <c r="C80" s="50" t="inlineStr">
        <is>
          <t>MIA</t>
        </is>
      </c>
      <c r="D80" s="50" t="inlineStr">
        <is>
          <t>NE</t>
        </is>
      </c>
      <c r="E80" s="52" t="n">
        <v>5200</v>
      </c>
      <c r="F80" s="53" t="n"/>
      <c r="G80" s="55" t="n">
        <v>450</v>
      </c>
      <c r="H80" s="53" t="n"/>
      <c r="I80" s="53" t="n"/>
      <c r="J80" s="40" t="n">
        <v>0.1818</v>
      </c>
      <c r="K80" s="40" t="n">
        <v>1.09</v>
      </c>
      <c r="L80" s="40" t="n">
        <v>5</v>
      </c>
      <c r="M80" s="40" t="n">
        <v>2.65</v>
      </c>
      <c r="N80" s="40" t="n">
        <v>0.51</v>
      </c>
      <c r="O80" s="41" t="n">
        <v>0</v>
      </c>
    </row>
    <row r="81">
      <c r="A81" s="50" t="n">
        <v>77</v>
      </c>
      <c r="B81" s="51" t="inlineStr">
        <is>
          <t>Emari Demercado</t>
        </is>
      </c>
      <c r="C81" s="50" t="inlineStr">
        <is>
          <t>DAL</t>
        </is>
      </c>
      <c r="D81" s="50" t="inlineStr">
        <is>
          <t>ARI</t>
        </is>
      </c>
      <c r="E81" s="52" t="n">
        <v>4600</v>
      </c>
      <c r="F81" s="53" t="n"/>
      <c r="G81" s="55" t="n"/>
      <c r="H81" s="53" t="n"/>
      <c r="I81" s="53" t="n"/>
      <c r="J81" s="40" t="n">
        <v>0.0294</v>
      </c>
      <c r="K81" s="40" t="n">
        <v>0</v>
      </c>
      <c r="L81" s="40" t="n">
        <v>0</v>
      </c>
      <c r="M81" s="40" t="n">
        <v>0</v>
      </c>
      <c r="N81" s="40" t="n">
        <v>0</v>
      </c>
      <c r="O81" s="41" t="n">
        <v>0.08</v>
      </c>
    </row>
    <row r="82">
      <c r="A82" s="50" t="n">
        <v>78</v>
      </c>
      <c r="B82" s="51" t="inlineStr">
        <is>
          <t>Reggie Gilliam</t>
        </is>
      </c>
      <c r="C82" s="50" t="inlineStr">
        <is>
          <t>NE</t>
        </is>
      </c>
      <c r="D82" s="50" t="inlineStr">
        <is>
          <t>MIA</t>
        </is>
      </c>
      <c r="E82" s="52" t="n">
        <v>4000</v>
      </c>
      <c r="F82" s="53" t="n"/>
      <c r="G82" s="53" t="n"/>
      <c r="H82" s="53" t="n"/>
      <c r="I82" s="53" t="n"/>
      <c r="J82" s="53">
        <f>IF(OR(ISBLANK(G82), NOT(ISNUMBER(G82))), "", IF(G82 &lt; 0, -G82 / (-G82 + 100), 100 / (G82 + 100)))</f>
        <v/>
      </c>
      <c r="K82" s="40" t="n">
        <v>0</v>
      </c>
      <c r="L82" s="40" t="n">
        <v>0</v>
      </c>
      <c r="M82" s="40" t="n">
        <v>0</v>
      </c>
      <c r="N82" s="40" t="n">
        <v>0</v>
      </c>
      <c r="O82" s="41" t="n">
        <v>0.08</v>
      </c>
    </row>
    <row r="83">
      <c r="A83" s="50" t="n">
        <v>79</v>
      </c>
      <c r="B83" s="51" t="inlineStr">
        <is>
          <t>Brashard Smith</t>
        </is>
      </c>
      <c r="C83" s="50" t="inlineStr">
        <is>
          <t>KC</t>
        </is>
      </c>
      <c r="D83" s="50" t="inlineStr">
        <is>
          <t>DEN</t>
        </is>
      </c>
      <c r="E83" s="52" t="n">
        <v>4200</v>
      </c>
      <c r="F83" s="53" t="n"/>
      <c r="G83" s="55" t="n"/>
      <c r="H83" s="53" t="n"/>
      <c r="I83" s="53" t="n"/>
      <c r="J83" s="40" t="n">
        <v>0.0278</v>
      </c>
      <c r="K83" s="40" t="n">
        <v>0</v>
      </c>
      <c r="L83" s="40" t="n">
        <v>0</v>
      </c>
      <c r="M83" s="40" t="n">
        <v>0</v>
      </c>
      <c r="N83" s="40" t="n">
        <v>0</v>
      </c>
      <c r="O83" s="41" t="n">
        <v>0.08</v>
      </c>
    </row>
    <row r="84">
      <c r="A84" s="50" t="n">
        <v>80</v>
      </c>
      <c r="B84" s="51" t="inlineStr">
        <is>
          <t>Nick Singleton</t>
        </is>
      </c>
      <c r="C84" s="50" t="inlineStr">
        <is>
          <t>TEN</t>
        </is>
      </c>
      <c r="D84" s="50" t="inlineStr">
        <is>
          <t>CIN</t>
        </is>
      </c>
      <c r="E84" s="52" t="n">
        <v>4000</v>
      </c>
      <c r="F84" s="53" t="n"/>
      <c r="G84" s="55" t="n"/>
      <c r="H84" s="53" t="n"/>
      <c r="I84" s="53" t="n"/>
      <c r="J84" s="40" t="n">
        <v>0.0179</v>
      </c>
      <c r="K84" s="40" t="n">
        <v>0</v>
      </c>
      <c r="L84" s="40" t="n">
        <v>0</v>
      </c>
      <c r="M84" s="40" t="n">
        <v>0</v>
      </c>
      <c r="N84" s="40" t="n">
        <v>0</v>
      </c>
      <c r="O84" s="41" t="n">
        <v>0.08</v>
      </c>
    </row>
    <row r="85">
      <c r="A85" s="50" t="n">
        <v>81</v>
      </c>
      <c r="B85" s="51" t="inlineStr">
        <is>
          <t>LeQuint Allen Jr.</t>
        </is>
      </c>
      <c r="C85" s="50" t="inlineStr">
        <is>
          <t>JAC</t>
        </is>
      </c>
      <c r="D85" s="50" t="inlineStr">
        <is>
          <t>IND</t>
        </is>
      </c>
      <c r="E85" s="52" t="n">
        <v>4200</v>
      </c>
      <c r="F85" s="53" t="n"/>
      <c r="G85" s="55" t="n">
        <v>800</v>
      </c>
      <c r="H85" s="53" t="n"/>
      <c r="I85" s="53" t="n"/>
      <c r="J85" s="40" t="n">
        <v>0.1111</v>
      </c>
      <c r="K85" s="40" t="n">
        <v>0.67</v>
      </c>
      <c r="L85" s="40" t="n">
        <v>0</v>
      </c>
      <c r="M85" s="40" t="n">
        <v>0.67</v>
      </c>
      <c r="N85" s="40" t="n">
        <v>0.16</v>
      </c>
      <c r="O85" s="41" t="n">
        <v>0</v>
      </c>
    </row>
    <row r="86">
      <c r="A86" s="50" t="n">
        <v>82</v>
      </c>
      <c r="B86" s="51" t="inlineStr">
        <is>
          <t>Rasheen Ali</t>
        </is>
      </c>
      <c r="C86" s="50" t="inlineStr">
        <is>
          <t>BAL</t>
        </is>
      </c>
      <c r="D86" s="50" t="inlineStr">
        <is>
          <t>BUF</t>
        </is>
      </c>
      <c r="E86" s="52" t="n">
        <v>4100</v>
      </c>
      <c r="F86" s="53" t="n"/>
      <c r="G86" s="55" t="n">
        <v>900</v>
      </c>
      <c r="H86" s="53" t="n"/>
      <c r="I86" s="53" t="n"/>
      <c r="J86" s="40" t="n">
        <v>0.1</v>
      </c>
      <c r="K86" s="40" t="n">
        <v>0.6</v>
      </c>
      <c r="L86" s="40" t="n">
        <v>0</v>
      </c>
      <c r="M86" s="40" t="n">
        <v>0.6</v>
      </c>
      <c r="N86" s="40" t="n">
        <v>0.15</v>
      </c>
      <c r="O86" s="41" t="n">
        <v>0</v>
      </c>
    </row>
    <row r="87">
      <c r="A87" s="50" t="n">
        <v>83</v>
      </c>
      <c r="B87" s="51" t="inlineStr">
        <is>
          <t>Frank Gore Jr.</t>
        </is>
      </c>
      <c r="C87" s="50" t="inlineStr">
        <is>
          <t>BUF</t>
        </is>
      </c>
      <c r="D87" s="50" t="inlineStr">
        <is>
          <t>BAL</t>
        </is>
      </c>
      <c r="E87" s="52" t="n">
        <v>4700</v>
      </c>
      <c r="F87" s="53" t="n"/>
      <c r="G87" s="55" t="n"/>
      <c r="H87" s="53" t="n"/>
      <c r="I87" s="53" t="n"/>
      <c r="J87" s="40" t="n">
        <v>0.1667</v>
      </c>
      <c r="K87" s="40" t="n">
        <v>0</v>
      </c>
      <c r="L87" s="40" t="n">
        <v>0</v>
      </c>
      <c r="M87" s="40" t="n">
        <v>0</v>
      </c>
      <c r="N87" s="40" t="n">
        <v>0</v>
      </c>
      <c r="O87" s="41" t="n">
        <v>0.08</v>
      </c>
    </row>
    <row r="88">
      <c r="A88" s="50" t="n">
        <v>84</v>
      </c>
      <c r="B88" s="51" t="inlineStr">
        <is>
          <t>Kalel Mullings</t>
        </is>
      </c>
      <c r="C88" s="50" t="inlineStr">
        <is>
          <t>TEN</t>
        </is>
      </c>
      <c r="D88" s="50" t="inlineStr">
        <is>
          <t>CIN</t>
        </is>
      </c>
      <c r="E88" s="52" t="n">
        <v>4000</v>
      </c>
      <c r="F88" s="53" t="n"/>
      <c r="G88" s="55" t="n"/>
      <c r="H88" s="53" t="n"/>
      <c r="I88" s="53" t="n"/>
      <c r="J88" s="40" t="n">
        <v>0.0294</v>
      </c>
      <c r="K88" s="40" t="n">
        <v>0</v>
      </c>
      <c r="L88" s="40" t="n">
        <v>0</v>
      </c>
      <c r="M88" s="40" t="n">
        <v>0</v>
      </c>
      <c r="N88" s="40" t="n">
        <v>0</v>
      </c>
      <c r="O88" s="41" t="n">
        <v>0.08</v>
      </c>
    </row>
    <row r="89">
      <c r="A89" s="50" t="n">
        <v>85</v>
      </c>
      <c r="B89" s="51" t="inlineStr">
        <is>
          <t>Owen Wright</t>
        </is>
      </c>
      <c r="C89" s="50" t="inlineStr">
        <is>
          <t>LV</t>
        </is>
      </c>
      <c r="D89" s="50" t="inlineStr">
        <is>
          <t>NYJ</t>
        </is>
      </c>
      <c r="E89" s="52" t="n">
        <v>4000</v>
      </c>
      <c r="F89" s="53" t="n"/>
      <c r="G89" s="55" t="n"/>
      <c r="H89" s="53" t="n"/>
      <c r="I89" s="53" t="n"/>
      <c r="J89" s="40" t="n">
        <v>0.0435</v>
      </c>
      <c r="K89" s="40" t="n">
        <v>0</v>
      </c>
      <c r="L89" s="40" t="n">
        <v>0</v>
      </c>
      <c r="M89" s="40" t="n">
        <v>0</v>
      </c>
      <c r="N89" s="40" t="n">
        <v>0</v>
      </c>
      <c r="O89" s="41" t="n">
        <v>0.08</v>
      </c>
    </row>
    <row r="90">
      <c r="A90" s="50" t="n">
        <v>86</v>
      </c>
      <c r="B90" s="51" t="inlineStr">
        <is>
          <t>Travis Homer</t>
        </is>
      </c>
      <c r="C90" s="50" t="inlineStr">
        <is>
          <t>PIT</t>
        </is>
      </c>
      <c r="D90" s="50" t="inlineStr">
        <is>
          <t>CLE</t>
        </is>
      </c>
      <c r="E90" s="52" t="n">
        <v>4400</v>
      </c>
      <c r="F90" s="53" t="n"/>
      <c r="G90" s="55" t="n">
        <v>1700</v>
      </c>
      <c r="H90" s="53" t="n"/>
      <c r="I90" s="53" t="n"/>
      <c r="J90" s="40" t="n">
        <v>0.0556</v>
      </c>
      <c r="K90" s="40" t="n">
        <v>0.33</v>
      </c>
      <c r="L90" s="40" t="n">
        <v>0</v>
      </c>
      <c r="M90" s="40" t="n">
        <v>0.33</v>
      </c>
      <c r="N90" s="40" t="n">
        <v>0.08</v>
      </c>
      <c r="O90" s="41" t="n">
        <v>0</v>
      </c>
    </row>
    <row r="91">
      <c r="A91" s="50" t="n">
        <v>87</v>
      </c>
      <c r="B91" s="51" t="inlineStr">
        <is>
          <t>Kendall Milton</t>
        </is>
      </c>
      <c r="C91" s="50" t="inlineStr">
        <is>
          <t>CIN</t>
        </is>
      </c>
      <c r="D91" s="50" t="inlineStr">
        <is>
          <t>TEN</t>
        </is>
      </c>
      <c r="E91" s="52" t="n">
        <v>4000</v>
      </c>
      <c r="F91" s="53" t="n"/>
      <c r="G91" s="55" t="n"/>
      <c r="H91" s="53" t="n"/>
      <c r="I91" s="53" t="n"/>
      <c r="J91" s="40" t="n">
        <v>0.0294</v>
      </c>
      <c r="K91" s="40" t="n">
        <v>0</v>
      </c>
      <c r="L91" s="40" t="n">
        <v>0</v>
      </c>
      <c r="M91" s="40" t="n">
        <v>0</v>
      </c>
      <c r="N91" s="40" t="n">
        <v>0</v>
      </c>
      <c r="O91" s="41" t="n">
        <v>0.08</v>
      </c>
    </row>
    <row r="92">
      <c r="A92" s="50" t="n">
        <v>88</v>
      </c>
      <c r="B92" s="51" t="inlineStr">
        <is>
          <t>Adam Prentice</t>
        </is>
      </c>
      <c r="C92" s="50" t="inlineStr">
        <is>
          <t>DEN</t>
        </is>
      </c>
      <c r="D92" s="50" t="inlineStr">
        <is>
          <t>KC</t>
        </is>
      </c>
      <c r="E92" s="52" t="n">
        <v>4200</v>
      </c>
      <c r="F92" s="53" t="n"/>
      <c r="G92" s="55" t="n">
        <v>1900</v>
      </c>
      <c r="H92" s="53" t="n"/>
      <c r="I92" s="53" t="n"/>
      <c r="J92" s="40" t="n">
        <v>0.05</v>
      </c>
      <c r="K92" s="40" t="n">
        <v>0.3</v>
      </c>
      <c r="L92" s="40" t="n">
        <v>0</v>
      </c>
      <c r="M92" s="40" t="n">
        <v>0.3</v>
      </c>
      <c r="N92" s="40" t="n">
        <v>0.07000000000000001</v>
      </c>
      <c r="O92" s="41" t="n">
        <v>0</v>
      </c>
    </row>
    <row r="93">
      <c r="A93" s="50" t="n">
        <v>89</v>
      </c>
      <c r="B93" s="51" t="inlineStr">
        <is>
          <t>Tahj Brooks</t>
        </is>
      </c>
      <c r="C93" s="50" t="inlineStr">
        <is>
          <t>CIN</t>
        </is>
      </c>
      <c r="D93" s="50" t="inlineStr">
        <is>
          <t>TEN</t>
        </is>
      </c>
      <c r="E93" s="52" t="n">
        <v>4000</v>
      </c>
      <c r="F93" s="53" t="n"/>
      <c r="G93" s="55" t="n">
        <v>1700</v>
      </c>
      <c r="H93" s="53" t="n"/>
      <c r="I93" s="53" t="n"/>
      <c r="J93" s="40" t="n">
        <v>0.0556</v>
      </c>
      <c r="K93" s="40" t="n">
        <v>0.33</v>
      </c>
      <c r="L93" s="40" t="n">
        <v>0</v>
      </c>
      <c r="M93" s="40" t="n">
        <v>0.33</v>
      </c>
      <c r="N93" s="40" t="n">
        <v>0.08</v>
      </c>
      <c r="O93" s="41" t="n">
        <v>0</v>
      </c>
    </row>
    <row r="94">
      <c r="A94" s="50" t="n">
        <v>90</v>
      </c>
      <c r="B94" s="51" t="inlineStr">
        <is>
          <t>Lew Nichols</t>
        </is>
      </c>
      <c r="C94" s="50" t="inlineStr">
        <is>
          <t>PIT</t>
        </is>
      </c>
      <c r="D94" s="50" t="inlineStr">
        <is>
          <t>CLE</t>
        </is>
      </c>
      <c r="E94" s="52" t="n">
        <v>4000</v>
      </c>
      <c r="F94" s="53" t="n"/>
      <c r="G94" s="55" t="n">
        <v>2400</v>
      </c>
      <c r="H94" s="53" t="n"/>
      <c r="I94" s="53" t="n"/>
      <c r="J94" s="40" t="n">
        <v>0.04</v>
      </c>
      <c r="K94" s="40" t="n">
        <v>0.24</v>
      </c>
      <c r="L94" s="40" t="n">
        <v>0</v>
      </c>
      <c r="M94" s="40" t="n">
        <v>0.24</v>
      </c>
      <c r="N94" s="40" t="n">
        <v>0.06</v>
      </c>
      <c r="O94" s="41" t="n">
        <v>0</v>
      </c>
    </row>
    <row r="95">
      <c r="A95" s="50" t="n">
        <v>91</v>
      </c>
      <c r="B95" s="51" t="inlineStr">
        <is>
          <t>Michael Burton</t>
        </is>
      </c>
      <c r="C95" s="50" t="inlineStr">
        <is>
          <t>CLE</t>
        </is>
      </c>
      <c r="D95" s="50" t="inlineStr">
        <is>
          <t>PIT</t>
        </is>
      </c>
      <c r="E95" s="52" t="n">
        <v>4000</v>
      </c>
      <c r="F95" s="53" t="n"/>
      <c r="G95" s="55" t="n">
        <v>2400</v>
      </c>
      <c r="H95" s="53" t="n"/>
      <c r="I95" s="53" t="n"/>
      <c r="J95" s="40" t="n">
        <v>0.04</v>
      </c>
      <c r="K95" s="40" t="n">
        <v>0.24</v>
      </c>
      <c r="L95" s="40" t="n">
        <v>0</v>
      </c>
      <c r="M95" s="40" t="n">
        <v>0.24</v>
      </c>
      <c r="N95" s="40" t="n">
        <v>0.06</v>
      </c>
      <c r="O95" s="41" t="n">
        <v>0</v>
      </c>
    </row>
    <row r="96">
      <c r="A96" s="50" t="n">
        <v>92</v>
      </c>
      <c r="B96" s="51" t="inlineStr">
        <is>
          <t>DJ Giddens</t>
        </is>
      </c>
      <c r="C96" s="50" t="inlineStr">
        <is>
          <t>IND</t>
        </is>
      </c>
      <c r="D96" s="50" t="inlineStr">
        <is>
          <t>JAC</t>
        </is>
      </c>
      <c r="E96" s="52" t="n">
        <v>4200</v>
      </c>
      <c r="F96" s="53" t="n"/>
      <c r="G96" s="55" t="n">
        <v>2900</v>
      </c>
      <c r="H96" s="53" t="n"/>
      <c r="I96" s="53" t="n"/>
      <c r="J96" s="40" t="n">
        <v>0.0333</v>
      </c>
      <c r="K96" s="40" t="n">
        <v>0.2</v>
      </c>
      <c r="L96" s="40" t="n">
        <v>0</v>
      </c>
      <c r="M96" s="40" t="n">
        <v>0.2</v>
      </c>
      <c r="N96" s="40" t="n">
        <v>0.05</v>
      </c>
      <c r="O96" s="41" t="n">
        <v>0</v>
      </c>
    </row>
    <row r="97">
      <c r="A97" s="50" t="n">
        <v>93</v>
      </c>
      <c r="B97" s="51" t="inlineStr">
        <is>
          <t>Josh Williams</t>
        </is>
      </c>
      <c r="C97" s="50" t="inlineStr">
        <is>
          <t>TB</t>
        </is>
      </c>
      <c r="D97" s="50" t="inlineStr">
        <is>
          <t>ATL</t>
        </is>
      </c>
      <c r="E97" s="52" t="n">
        <v>4000</v>
      </c>
      <c r="F97" s="53" t="n"/>
      <c r="G97" s="55" t="n"/>
      <c r="H97" s="53" t="n"/>
      <c r="I97" s="53" t="n"/>
      <c r="J97" s="40" t="n">
        <v>0.0556</v>
      </c>
      <c r="K97" s="40" t="n">
        <v>0</v>
      </c>
      <c r="L97" s="40" t="n">
        <v>0</v>
      </c>
      <c r="M97" s="40" t="n">
        <v>0</v>
      </c>
      <c r="N97" s="40" t="n">
        <v>0</v>
      </c>
      <c r="O97" s="41" t="n">
        <v>0.08</v>
      </c>
    </row>
    <row r="98">
      <c r="A98" s="50" t="n">
        <v>94</v>
      </c>
      <c r="B98" s="51" t="inlineStr">
        <is>
          <t>Dean Connors</t>
        </is>
      </c>
      <c r="C98" s="50" t="inlineStr">
        <is>
          <t>LAR</t>
        </is>
      </c>
      <c r="D98" s="50" t="inlineStr">
        <is>
          <t>LAC</t>
        </is>
      </c>
      <c r="E98" s="52" t="n">
        <v>4000</v>
      </c>
      <c r="F98" s="53" t="n"/>
      <c r="G98" s="55" t="n">
        <v>1900</v>
      </c>
      <c r="H98" s="53" t="n"/>
      <c r="I98" s="53" t="n"/>
      <c r="J98" s="40" t="n">
        <v>0.05</v>
      </c>
      <c r="K98" s="40" t="n">
        <v>0.3</v>
      </c>
      <c r="L98" s="40" t="n">
        <v>0</v>
      </c>
      <c r="M98" s="40" t="n">
        <v>0.3</v>
      </c>
      <c r="N98" s="40" t="n">
        <v>0.08</v>
      </c>
      <c r="O98" s="41" t="n">
        <v>0</v>
      </c>
    </row>
    <row r="99">
      <c r="A99" s="50" t="n">
        <v>95</v>
      </c>
      <c r="B99" s="51" t="inlineStr">
        <is>
          <t>Julius Chestnut</t>
        </is>
      </c>
      <c r="C99" s="50" t="inlineStr">
        <is>
          <t>TEN</t>
        </is>
      </c>
      <c r="D99" s="50" t="inlineStr">
        <is>
          <t>CIN</t>
        </is>
      </c>
      <c r="E99" s="52" t="n">
        <v>4000</v>
      </c>
      <c r="F99" s="53" t="n"/>
      <c r="G99" s="55" t="n">
        <v>1700</v>
      </c>
      <c r="H99" s="53" t="n"/>
      <c r="I99" s="53" t="n"/>
      <c r="J99" s="40" t="n">
        <v>0.0556</v>
      </c>
      <c r="K99" s="40" t="n">
        <v>0.33</v>
      </c>
      <c r="L99" s="40" t="n">
        <v>0</v>
      </c>
      <c r="M99" s="40" t="n">
        <v>0.33</v>
      </c>
      <c r="N99" s="40" t="n">
        <v>0.08</v>
      </c>
      <c r="O99" s="41" t="n">
        <v>0</v>
      </c>
    </row>
    <row r="100">
      <c r="A100" s="50" t="n">
        <v>96</v>
      </c>
      <c r="B100" s="51" t="inlineStr">
        <is>
          <t>Eli Heidenreich</t>
        </is>
      </c>
      <c r="C100" s="50" t="inlineStr">
        <is>
          <t>PIT</t>
        </is>
      </c>
      <c r="D100" s="50" t="inlineStr">
        <is>
          <t>CLE</t>
        </is>
      </c>
      <c r="E100" s="52" t="n">
        <v>4000</v>
      </c>
      <c r="F100" s="53" t="n"/>
      <c r="G100" s="55" t="n">
        <v>1700</v>
      </c>
      <c r="H100" s="53" t="n"/>
      <c r="I100" s="53" t="n"/>
      <c r="J100" s="40" t="n">
        <v>0.0556</v>
      </c>
      <c r="K100" s="40" t="n">
        <v>0.33</v>
      </c>
      <c r="L100" s="40" t="n">
        <v>0</v>
      </c>
      <c r="M100" s="40" t="n">
        <v>0.33</v>
      </c>
      <c r="N100" s="40" t="n">
        <v>0.08</v>
      </c>
      <c r="O100" s="41" t="n">
        <v>0</v>
      </c>
    </row>
    <row r="101">
      <c r="A101" s="50" t="n">
        <v>97</v>
      </c>
      <c r="B101" s="51" t="inlineStr">
        <is>
          <t>Jacob Saylors</t>
        </is>
      </c>
      <c r="C101" s="50" t="inlineStr">
        <is>
          <t>DET</t>
        </is>
      </c>
      <c r="D101" s="50" t="inlineStr">
        <is>
          <t>MIN</t>
        </is>
      </c>
      <c r="E101" s="52" t="n">
        <v>4100</v>
      </c>
      <c r="F101" s="53" t="n"/>
      <c r="G101" s="55" t="n">
        <v>2000</v>
      </c>
      <c r="H101" s="53" t="n"/>
      <c r="I101" s="53" t="n"/>
      <c r="J101" s="40" t="n">
        <v>0.0476</v>
      </c>
      <c r="K101" s="40" t="n">
        <v>0.29</v>
      </c>
      <c r="L101" s="40" t="n">
        <v>0</v>
      </c>
      <c r="M101" s="40" t="n">
        <v>0.29</v>
      </c>
      <c r="N101" s="40" t="n">
        <v>0.07000000000000001</v>
      </c>
      <c r="O101" s="41" t="n">
        <v>0</v>
      </c>
    </row>
    <row r="102">
      <c r="A102" s="50" t="n">
        <v>98</v>
      </c>
      <c r="B102" s="51" t="inlineStr">
        <is>
          <t>Kene Nwangwu</t>
        </is>
      </c>
      <c r="C102" s="50" t="inlineStr">
        <is>
          <t>NYJ</t>
        </is>
      </c>
      <c r="D102" s="50" t="inlineStr">
        <is>
          <t>LV</t>
        </is>
      </c>
      <c r="E102" s="52" t="n">
        <v>4000</v>
      </c>
      <c r="F102" s="53" t="n"/>
      <c r="G102" s="55" t="n">
        <v>1700</v>
      </c>
      <c r="H102" s="53" t="n"/>
      <c r="I102" s="53" t="n"/>
      <c r="J102" s="40" t="n">
        <v>0.0556</v>
      </c>
      <c r="K102" s="40" t="n">
        <v>0.33</v>
      </c>
      <c r="L102" s="40" t="n">
        <v>0</v>
      </c>
      <c r="M102" s="40" t="n">
        <v>0.33</v>
      </c>
      <c r="N102" s="40" t="n">
        <v>0.08</v>
      </c>
      <c r="O102" s="41" t="n">
        <v>0</v>
      </c>
    </row>
    <row r="103">
      <c r="A103" s="50" t="n">
        <v>99</v>
      </c>
      <c r="B103" s="51" t="inlineStr">
        <is>
          <t>Trey Sermon</t>
        </is>
      </c>
      <c r="C103" s="50" t="inlineStr">
        <is>
          <t>ATL</t>
        </is>
      </c>
      <c r="D103" s="50" t="inlineStr">
        <is>
          <t>TB</t>
        </is>
      </c>
      <c r="E103" s="52" t="n">
        <v>4000</v>
      </c>
      <c r="F103" s="53" t="n"/>
      <c r="G103" s="53" t="n"/>
      <c r="H103" s="53" t="n"/>
      <c r="I103" s="53" t="n"/>
      <c r="J103" s="53">
        <f>IF(OR(ISBLANK(G103), NOT(ISNUMBER(G103))), "", IF(G103 &lt; 0, -G103 / (-G103 + 100), 100 / (G103 + 100)))</f>
        <v/>
      </c>
      <c r="K103" s="40" t="n">
        <v>0</v>
      </c>
      <c r="L103" s="40" t="n">
        <v>0</v>
      </c>
      <c r="M103" s="40" t="n">
        <v>0</v>
      </c>
      <c r="N103" s="40" t="n">
        <v>0</v>
      </c>
      <c r="O103" s="41" t="n">
        <v>0.08</v>
      </c>
    </row>
    <row r="104">
      <c r="A104" s="50" t="n">
        <v>100</v>
      </c>
      <c r="B104" s="51" t="inlineStr">
        <is>
          <t>Max Bredeson</t>
        </is>
      </c>
      <c r="C104" s="50" t="inlineStr">
        <is>
          <t>MIN</t>
        </is>
      </c>
      <c r="D104" s="50" t="inlineStr">
        <is>
          <t>DET</t>
        </is>
      </c>
      <c r="E104" s="52" t="n">
        <v>4000</v>
      </c>
      <c r="F104" s="53" t="n"/>
      <c r="G104" s="55" t="n">
        <v>1900</v>
      </c>
      <c r="H104" s="53" t="n"/>
      <c r="I104" s="53" t="n"/>
      <c r="J104" s="40" t="n">
        <v>0.05</v>
      </c>
      <c r="K104" s="40" t="n">
        <v>0.3</v>
      </c>
      <c r="L104" s="40" t="n">
        <v>0</v>
      </c>
      <c r="M104" s="40" t="n">
        <v>0.3</v>
      </c>
      <c r="N104" s="40" t="n">
        <v>0.08</v>
      </c>
      <c r="O104" s="41" t="n">
        <v>0</v>
      </c>
    </row>
    <row r="105">
      <c r="A105" s="50" t="n">
        <v>101</v>
      </c>
      <c r="B105" s="51" t="inlineStr">
        <is>
          <t>Carlos Washington Jr.</t>
        </is>
      </c>
      <c r="C105" s="50" t="inlineStr">
        <is>
          <t>MIA</t>
        </is>
      </c>
      <c r="D105" s="50" t="inlineStr">
        <is>
          <t>NE</t>
        </is>
      </c>
      <c r="E105" s="52" t="n">
        <v>4000</v>
      </c>
      <c r="F105" s="53" t="n"/>
      <c r="G105" s="53" t="n"/>
      <c r="H105" s="53" t="n"/>
      <c r="I105" s="53" t="n"/>
      <c r="J105" s="53">
        <f>IF(OR(ISBLANK(G105), NOT(ISNUMBER(G105))), "", IF(G105 &lt; 0, -G105 / (-G105 + 100), 100 / (G105 + 100)))</f>
        <v/>
      </c>
      <c r="K105" s="40" t="n">
        <v>0</v>
      </c>
      <c r="L105" s="40" t="n">
        <v>0</v>
      </c>
      <c r="M105" s="40" t="n">
        <v>0</v>
      </c>
      <c r="N105" s="40" t="n">
        <v>0</v>
      </c>
      <c r="O105" s="41" t="n">
        <v>0.08</v>
      </c>
    </row>
    <row r="106">
      <c r="A106" s="50" t="n">
        <v>102</v>
      </c>
      <c r="B106" s="51" t="inlineStr">
        <is>
          <t>Lucas Scott</t>
        </is>
      </c>
      <c r="C106" s="50" t="inlineStr">
        <is>
          <t>BAL</t>
        </is>
      </c>
      <c r="D106" s="50" t="inlineStr">
        <is>
          <t>BUF</t>
        </is>
      </c>
      <c r="E106" s="52" t="n">
        <v>4000</v>
      </c>
      <c r="F106" s="53" t="n"/>
      <c r="G106" s="53" t="n"/>
      <c r="H106" s="53" t="n"/>
      <c r="I106" s="53" t="n"/>
      <c r="J106" s="53">
        <f>IF(OR(ISBLANK(G106), NOT(ISNUMBER(G106))), "", IF(G106 &lt; 0, -G106 / (-G106 + 100), 100 / (G106 + 100)))</f>
        <v/>
      </c>
      <c r="K106" s="40" t="n">
        <v>0</v>
      </c>
      <c r="L106" s="40" t="n">
        <v>0</v>
      </c>
      <c r="M106" s="40" t="n">
        <v>0</v>
      </c>
      <c r="N106" s="40" t="n">
        <v>0</v>
      </c>
      <c r="O106" s="41" t="n">
        <v>0.08</v>
      </c>
    </row>
    <row r="107">
      <c r="A107" s="50" t="n">
        <v>103</v>
      </c>
      <c r="B107" s="51" t="inlineStr">
        <is>
          <t>Myles Montgomery</t>
        </is>
      </c>
      <c r="C107" s="50" t="inlineStr">
        <is>
          <t>NE</t>
        </is>
      </c>
      <c r="D107" s="50" t="inlineStr">
        <is>
          <t>MIA</t>
        </is>
      </c>
      <c r="E107" s="52" t="n">
        <v>4000</v>
      </c>
      <c r="F107" s="53" t="n"/>
      <c r="G107" s="53" t="n"/>
      <c r="H107" s="53" t="n"/>
      <c r="I107" s="53" t="n"/>
      <c r="J107" s="53">
        <f>IF(OR(ISBLANK(G107), NOT(ISNUMBER(G107))), "", IF(G107 &lt; 0, -G107 / (-G107 + 100), 100 / (G107 + 100)))</f>
        <v/>
      </c>
      <c r="K107" s="40" t="n">
        <v>0</v>
      </c>
      <c r="L107" s="40" t="n">
        <v>0</v>
      </c>
      <c r="M107" s="40" t="n">
        <v>0</v>
      </c>
      <c r="N107" s="40" t="n">
        <v>0</v>
      </c>
      <c r="O107" s="41" t="n">
        <v>0.08</v>
      </c>
    </row>
    <row r="108">
      <c r="A108" s="50" t="n">
        <v>104</v>
      </c>
      <c r="B108" s="51" t="inlineStr">
        <is>
          <t>Israel Abanikanda</t>
        </is>
      </c>
      <c r="C108" s="50" t="inlineStr">
        <is>
          <t>DAL</t>
        </is>
      </c>
      <c r="D108" s="50" t="inlineStr">
        <is>
          <t>ARI</t>
        </is>
      </c>
      <c r="E108" s="52" t="n">
        <v>4000</v>
      </c>
      <c r="F108" s="53" t="n"/>
      <c r="G108" s="53" t="n"/>
      <c r="H108" s="53" t="n"/>
      <c r="I108" s="53" t="n"/>
      <c r="J108" s="53">
        <f>IF(OR(ISBLANK(G108), NOT(ISNUMBER(G108))), "", IF(G108 &lt; 0, -G108 / (-G108 + 100), 100 / (G108 + 100)))</f>
        <v/>
      </c>
      <c r="K108" s="40" t="n">
        <v>0</v>
      </c>
      <c r="L108" s="40" t="n">
        <v>0</v>
      </c>
      <c r="M108" s="40" t="n">
        <v>0</v>
      </c>
      <c r="N108" s="40" t="n">
        <v>0</v>
      </c>
      <c r="O108" s="41" t="n">
        <v>0.08</v>
      </c>
    </row>
    <row r="109">
      <c r="A109" s="50" t="n">
        <v>105</v>
      </c>
      <c r="B109" s="51" t="inlineStr">
        <is>
          <t>Cody Schrader</t>
        </is>
      </c>
      <c r="C109" s="50" t="inlineStr">
        <is>
          <t>DEN</t>
        </is>
      </c>
      <c r="D109" s="50" t="inlineStr">
        <is>
          <t>KC</t>
        </is>
      </c>
      <c r="E109" s="52" t="n">
        <v>4000</v>
      </c>
      <c r="F109" s="53" t="n"/>
      <c r="G109" s="53" t="n"/>
      <c r="H109" s="53" t="n"/>
      <c r="I109" s="53" t="n"/>
      <c r="J109" s="53">
        <f>IF(OR(ISBLANK(G109), NOT(ISNUMBER(G109))), "", IF(G109 &lt; 0, -G109 / (-G109 + 100), 100 / (G109 + 100)))</f>
        <v/>
      </c>
      <c r="K109" s="40" t="n">
        <v>0</v>
      </c>
      <c r="L109" s="40" t="n">
        <v>0</v>
      </c>
      <c r="M109" s="40" t="n">
        <v>0</v>
      </c>
      <c r="N109" s="40" t="n">
        <v>0</v>
      </c>
      <c r="O109" s="41" t="n">
        <v>0.08</v>
      </c>
    </row>
    <row r="110">
      <c r="A110" s="50" t="n">
        <v>106</v>
      </c>
      <c r="B110" s="51" t="inlineStr">
        <is>
          <t>Jaydn Ott</t>
        </is>
      </c>
      <c r="C110" s="50" t="inlineStr">
        <is>
          <t>KC</t>
        </is>
      </c>
      <c r="D110" s="50" t="inlineStr">
        <is>
          <t>DEN</t>
        </is>
      </c>
      <c r="E110" s="52" t="n">
        <v>4000</v>
      </c>
      <c r="F110" s="53" t="n"/>
      <c r="G110" s="55" t="n">
        <v>2400</v>
      </c>
      <c r="H110" s="53" t="n"/>
      <c r="I110" s="53" t="n"/>
      <c r="J110" s="40" t="n">
        <v>0.04</v>
      </c>
      <c r="K110" s="40" t="n">
        <v>0.24</v>
      </c>
      <c r="L110" s="40" t="n">
        <v>0</v>
      </c>
      <c r="M110" s="40" t="n">
        <v>0.24</v>
      </c>
      <c r="N110" s="40" t="n">
        <v>0.06</v>
      </c>
      <c r="O110" s="41" t="n">
        <v>0</v>
      </c>
    </row>
    <row r="111">
      <c r="A111" s="50" t="n">
        <v>107</v>
      </c>
      <c r="B111" s="51" t="inlineStr">
        <is>
          <t>Kentrel Bullock</t>
        </is>
      </c>
      <c r="C111" s="50" t="inlineStr">
        <is>
          <t>CIN</t>
        </is>
      </c>
      <c r="D111" s="50" t="inlineStr">
        <is>
          <t>TEN</t>
        </is>
      </c>
      <c r="E111" s="52" t="n">
        <v>4000</v>
      </c>
      <c r="F111" s="53" t="n"/>
      <c r="G111" s="53" t="n"/>
      <c r="H111" s="53" t="n"/>
      <c r="I111" s="53" t="n"/>
      <c r="J111" s="53">
        <f>IF(OR(ISBLANK(G111), NOT(ISNUMBER(G111))), "", IF(G111 &lt; 0, -G111 / (-G111 + 100), 100 / (G111 + 100)))</f>
        <v/>
      </c>
      <c r="K111" s="40" t="n">
        <v>0</v>
      </c>
      <c r="L111" s="40" t="n">
        <v>0</v>
      </c>
      <c r="M111" s="40" t="n">
        <v>0</v>
      </c>
      <c r="N111" s="40" t="n">
        <v>0</v>
      </c>
      <c r="O111" s="41" t="n">
        <v>0.08</v>
      </c>
    </row>
    <row r="112">
      <c r="A112" s="50" t="n">
        <v>108</v>
      </c>
      <c r="B112" s="51" t="inlineStr">
        <is>
          <t>Jordan Waters</t>
        </is>
      </c>
      <c r="C112" s="50" t="inlineStr">
        <is>
          <t>LAR</t>
        </is>
      </c>
      <c r="D112" s="50" t="inlineStr">
        <is>
          <t>LAC</t>
        </is>
      </c>
      <c r="E112" s="52" t="n">
        <v>4000</v>
      </c>
      <c r="F112" s="53" t="n"/>
      <c r="G112" s="53" t="n"/>
      <c r="H112" s="53" t="n"/>
      <c r="I112" s="53" t="n"/>
      <c r="J112" s="53">
        <f>IF(OR(ISBLANK(G112), NOT(ISNUMBER(G112))), "", IF(G112 &lt; 0, -G112 / (-G112 + 100), 100 / (G112 + 100)))</f>
        <v/>
      </c>
      <c r="K112" s="40" t="n">
        <v>0</v>
      </c>
      <c r="L112" s="40" t="n">
        <v>0</v>
      </c>
      <c r="M112" s="40" t="n">
        <v>0</v>
      </c>
      <c r="N112" s="40" t="n">
        <v>0</v>
      </c>
      <c r="O112" s="41" t="n">
        <v>0.08</v>
      </c>
    </row>
    <row r="113">
      <c r="A113" s="50" t="n">
        <v>109</v>
      </c>
      <c r="B113" s="51" t="inlineStr">
        <is>
          <t>Al-Jay Henderson</t>
        </is>
      </c>
      <c r="C113" s="50" t="inlineStr">
        <is>
          <t>NYJ</t>
        </is>
      </c>
      <c r="D113" s="50" t="inlineStr">
        <is>
          <t>LV</t>
        </is>
      </c>
      <c r="E113" s="52" t="n">
        <v>4000</v>
      </c>
      <c r="F113" s="53" t="n"/>
      <c r="G113" s="53" t="n"/>
      <c r="H113" s="53" t="n"/>
      <c r="I113" s="53" t="n"/>
      <c r="J113" s="53">
        <f>IF(OR(ISBLANK(G113), NOT(ISNUMBER(G113))), "", IF(G113 &lt; 0, -G113 / (-G113 + 100), 100 / (G113 + 100)))</f>
        <v/>
      </c>
      <c r="K113" s="40" t="n">
        <v>0</v>
      </c>
      <c r="L113" s="40" t="n">
        <v>0</v>
      </c>
      <c r="M113" s="40" t="n">
        <v>0</v>
      </c>
      <c r="N113" s="40" t="n">
        <v>0</v>
      </c>
      <c r="O113" s="41" t="n">
        <v>0.08</v>
      </c>
    </row>
    <row r="114">
      <c r="A114" s="50" t="n">
        <v>110</v>
      </c>
      <c r="B114" s="51" t="inlineStr">
        <is>
          <t>Adam Randall</t>
        </is>
      </c>
      <c r="C114" s="50" t="inlineStr">
        <is>
          <t>BAL</t>
        </is>
      </c>
      <c r="D114" s="50" t="inlineStr">
        <is>
          <t>BUF</t>
        </is>
      </c>
      <c r="E114" s="52" t="n">
        <v>4000</v>
      </c>
      <c r="F114" s="53" t="n"/>
      <c r="G114" s="53" t="n"/>
      <c r="H114" s="53" t="n"/>
      <c r="I114" s="53" t="n"/>
      <c r="J114" s="53">
        <f>IF(OR(ISBLANK(G114), NOT(ISNUMBER(G114))), "", IF(G114 &lt; 0, -G114 / (-G114 + 100), 100 / (G114 + 100)))</f>
        <v/>
      </c>
      <c r="K114" s="40" t="n">
        <v>0</v>
      </c>
      <c r="L114" s="40" t="n">
        <v>0</v>
      </c>
      <c r="M114" s="40" t="n">
        <v>0</v>
      </c>
      <c r="N114" s="40" t="n">
        <v>0</v>
      </c>
      <c r="O114" s="41" t="n">
        <v>0.08</v>
      </c>
    </row>
    <row r="115">
      <c r="A115" s="50" t="n">
        <v>111</v>
      </c>
      <c r="B115" s="51" t="inlineStr">
        <is>
          <t>Jonathan Ward</t>
        </is>
      </c>
      <c r="C115" s="50" t="inlineStr">
        <is>
          <t>BAL</t>
        </is>
      </c>
      <c r="D115" s="50" t="inlineStr">
        <is>
          <t>BUF</t>
        </is>
      </c>
      <c r="E115" s="52" t="n">
        <v>4000</v>
      </c>
      <c r="F115" s="53" t="n"/>
      <c r="G115" s="53" t="n"/>
      <c r="H115" s="53" t="n"/>
      <c r="I115" s="53" t="n"/>
      <c r="J115" s="53">
        <f>IF(OR(ISBLANK(G115), NOT(ISNUMBER(G115))), "", IF(G115 &lt; 0, -G115 / (-G115 + 100), 100 / (G115 + 100)))</f>
        <v/>
      </c>
      <c r="K115" s="40" t="n">
        <v>0</v>
      </c>
      <c r="L115" s="40" t="n">
        <v>0</v>
      </c>
      <c r="M115" s="40" t="n">
        <v>0</v>
      </c>
      <c r="N115" s="40" t="n">
        <v>0</v>
      </c>
      <c r="O115" s="41" t="n">
        <v>0.08</v>
      </c>
    </row>
    <row r="116">
      <c r="A116" s="50" t="n">
        <v>112</v>
      </c>
      <c r="B116" s="51" t="inlineStr">
        <is>
          <t>J'Mari Taylor</t>
        </is>
      </c>
      <c r="C116" s="50" t="inlineStr">
        <is>
          <t>JAC</t>
        </is>
      </c>
      <c r="D116" s="50" t="inlineStr">
        <is>
          <t>IND</t>
        </is>
      </c>
      <c r="E116" s="52" t="n">
        <v>4000</v>
      </c>
      <c r="F116" s="53" t="n"/>
      <c r="G116" s="55" t="n"/>
      <c r="H116" s="53" t="n"/>
      <c r="I116" s="53" t="n"/>
      <c r="J116" s="40" t="n">
        <v>0.1538</v>
      </c>
      <c r="K116" s="40" t="n">
        <v>0</v>
      </c>
      <c r="L116" s="40" t="n">
        <v>0</v>
      </c>
      <c r="M116" s="40" t="n">
        <v>0</v>
      </c>
      <c r="N116" s="40" t="n">
        <v>0</v>
      </c>
      <c r="O116" s="41" t="n">
        <v>0.08</v>
      </c>
    </row>
    <row r="117">
      <c r="A117" s="50" t="n">
        <v>113</v>
      </c>
      <c r="B117" s="51" t="inlineStr">
        <is>
          <t>Chris Collier</t>
        </is>
      </c>
      <c r="C117" s="50" t="inlineStr">
        <is>
          <t>LV</t>
        </is>
      </c>
      <c r="D117" s="50" t="inlineStr">
        <is>
          <t>NYJ</t>
        </is>
      </c>
      <c r="E117" s="52" t="n">
        <v>4000</v>
      </c>
      <c r="F117" s="53" t="n"/>
      <c r="G117" s="53" t="n"/>
      <c r="H117" s="53" t="n"/>
      <c r="I117" s="53" t="n"/>
      <c r="J117" s="53">
        <f>IF(OR(ISBLANK(G117), NOT(ISNUMBER(G117))), "", IF(G117 &lt; 0, -G117 / (-G117 + 100), 100 / (G117 + 100)))</f>
        <v/>
      </c>
      <c r="K117" s="40" t="n">
        <v>0</v>
      </c>
      <c r="L117" s="40" t="n">
        <v>0</v>
      </c>
      <c r="M117" s="40" t="n">
        <v>0</v>
      </c>
      <c r="N117" s="40" t="n">
        <v>0</v>
      </c>
      <c r="O117" s="41" t="n">
        <v>0.08</v>
      </c>
    </row>
    <row r="118">
      <c r="A118" s="50" t="n">
        <v>114</v>
      </c>
      <c r="B118" s="51" t="inlineStr">
        <is>
          <t>Gregory Desrosiers</t>
        </is>
      </c>
      <c r="C118" s="50" t="inlineStr">
        <is>
          <t>LAC</t>
        </is>
      </c>
      <c r="D118" s="50" t="inlineStr">
        <is>
          <t>LAR</t>
        </is>
      </c>
      <c r="E118" s="52" t="n">
        <v>4000</v>
      </c>
      <c r="F118" s="53" t="n"/>
      <c r="G118" s="53" t="n"/>
      <c r="H118" s="53" t="n"/>
      <c r="I118" s="53" t="n"/>
      <c r="J118" s="53">
        <f>IF(OR(ISBLANK(G118), NOT(ISNUMBER(G118))), "", IF(G118 &lt; 0, -G118 / (-G118 + 100), 100 / (G118 + 100)))</f>
        <v/>
      </c>
      <c r="K118" s="40" t="n">
        <v>0</v>
      </c>
      <c r="L118" s="40" t="n">
        <v>0</v>
      </c>
      <c r="M118" s="40" t="n">
        <v>0</v>
      </c>
      <c r="N118" s="40" t="n">
        <v>0</v>
      </c>
      <c r="O118" s="41" t="n">
        <v>0.08</v>
      </c>
    </row>
    <row r="119">
      <c r="A119" s="50" t="n">
        <v>115</v>
      </c>
      <c r="B119" s="51" t="inlineStr">
        <is>
          <t>Roman Hemby</t>
        </is>
      </c>
      <c r="C119" s="50" t="inlineStr">
        <is>
          <t>LV</t>
        </is>
      </c>
      <c r="D119" s="50" t="inlineStr">
        <is>
          <t>NYJ</t>
        </is>
      </c>
      <c r="E119" s="52" t="n">
        <v>4000</v>
      </c>
      <c r="F119" s="53" t="n"/>
      <c r="G119" s="55" t="n"/>
      <c r="H119" s="53" t="n"/>
      <c r="I119" s="53" t="n"/>
      <c r="J119" s="40" t="n">
        <v>0.0278</v>
      </c>
      <c r="K119" s="40" t="n">
        <v>0</v>
      </c>
      <c r="L119" s="40" t="n">
        <v>0</v>
      </c>
      <c r="M119" s="40" t="n">
        <v>0</v>
      </c>
      <c r="N119" s="40" t="n">
        <v>0</v>
      </c>
      <c r="O119" s="41" t="n">
        <v>0.08</v>
      </c>
    </row>
    <row r="120">
      <c r="A120" s="50" t="n">
        <v>116</v>
      </c>
      <c r="B120" s="51" t="inlineStr">
        <is>
          <t>Brock Lampe</t>
        </is>
      </c>
      <c r="C120" s="50" t="inlineStr">
        <is>
          <t>BUF</t>
        </is>
      </c>
      <c r="D120" s="50" t="inlineStr">
        <is>
          <t>BAL</t>
        </is>
      </c>
      <c r="E120" s="52" t="n">
        <v>4000</v>
      </c>
      <c r="F120" s="53" t="n"/>
      <c r="G120" s="53" t="n"/>
      <c r="H120" s="53" t="n"/>
      <c r="I120" s="53" t="n"/>
      <c r="J120" s="53">
        <f>IF(OR(ISBLANK(G120), NOT(ISNUMBER(G120))), "", IF(G120 &lt; 0, -G120 / (-G120 + 100), 100 / (G120 + 100)))</f>
        <v/>
      </c>
      <c r="K120" s="40" t="n">
        <v>0</v>
      </c>
      <c r="L120" s="40" t="n">
        <v>0</v>
      </c>
      <c r="M120" s="40" t="n">
        <v>0</v>
      </c>
      <c r="N120" s="40" t="n">
        <v>0</v>
      </c>
      <c r="O120" s="41" t="n">
        <v>0.08</v>
      </c>
    </row>
    <row r="121">
      <c r="A121" s="50" t="n">
        <v>117</v>
      </c>
      <c r="B121" s="51" t="inlineStr">
        <is>
          <t>Davon Booth</t>
        </is>
      </c>
      <c r="C121" s="50" t="inlineStr">
        <is>
          <t>IND</t>
        </is>
      </c>
      <c r="D121" s="50" t="inlineStr">
        <is>
          <t>JAC</t>
        </is>
      </c>
      <c r="E121" s="52" t="n">
        <v>4000</v>
      </c>
      <c r="F121" s="53" t="n"/>
      <c r="G121" s="53" t="n"/>
      <c r="H121" s="53" t="n"/>
      <c r="I121" s="53" t="n"/>
      <c r="J121" s="53">
        <f>IF(OR(ISBLANK(G121), NOT(ISNUMBER(G121))), "", IF(G121 &lt; 0, -G121 / (-G121 + 100), 100 / (G121 + 100)))</f>
        <v/>
      </c>
      <c r="K121" s="40" t="n">
        <v>0</v>
      </c>
      <c r="L121" s="40" t="n">
        <v>0</v>
      </c>
      <c r="M121" s="40" t="n">
        <v>0</v>
      </c>
      <c r="N121" s="40" t="n">
        <v>0</v>
      </c>
      <c r="O121" s="41" t="n">
        <v>0.08</v>
      </c>
    </row>
    <row r="122">
      <c r="A122" s="50" t="n">
        <v>118</v>
      </c>
      <c r="B122" s="51" t="inlineStr">
        <is>
          <t>Jabari Small</t>
        </is>
      </c>
      <c r="C122" s="50" t="inlineStr">
        <is>
          <t>DET</t>
        </is>
      </c>
      <c r="D122" s="50" t="inlineStr">
        <is>
          <t>MIN</t>
        </is>
      </c>
      <c r="E122" s="52" t="n">
        <v>4000</v>
      </c>
      <c r="F122" s="40" t="n"/>
      <c r="G122" s="55" t="n"/>
      <c r="H122" s="40" t="n"/>
      <c r="I122" s="40" t="n"/>
      <c r="J122" s="40" t="n">
        <v>0.2</v>
      </c>
      <c r="K122" s="40" t="n">
        <v>0</v>
      </c>
      <c r="L122" s="40" t="n">
        <v>0</v>
      </c>
      <c r="M122" s="40" t="n">
        <v>0</v>
      </c>
      <c r="N122" s="40" t="n">
        <v>0</v>
      </c>
      <c r="O122" s="41" t="n">
        <v>0.08</v>
      </c>
    </row>
    <row r="123">
      <c r="A123" s="50" t="n">
        <v>119</v>
      </c>
      <c r="B123" s="51" t="inlineStr">
        <is>
          <t>Jam Miller</t>
        </is>
      </c>
      <c r="C123" s="50" t="inlineStr">
        <is>
          <t>ATL</t>
        </is>
      </c>
      <c r="D123" s="50" t="inlineStr">
        <is>
          <t>TB</t>
        </is>
      </c>
      <c r="E123" s="52" t="n">
        <v>4000</v>
      </c>
      <c r="F123" s="53" t="n"/>
      <c r="G123" s="55" t="n"/>
      <c r="H123" s="53" t="n"/>
      <c r="I123" s="53" t="n"/>
      <c r="J123" s="40" t="n">
        <v>0.0435</v>
      </c>
      <c r="K123" s="40" t="n">
        <v>0</v>
      </c>
      <c r="L123" s="40" t="n">
        <v>0</v>
      </c>
      <c r="M123" s="40" t="n">
        <v>0</v>
      </c>
      <c r="N123" s="40" t="n">
        <v>0</v>
      </c>
      <c r="O123" s="41" t="n">
        <v>0.08</v>
      </c>
    </row>
    <row r="124">
      <c r="A124" s="50" t="n">
        <v>120</v>
      </c>
      <c r="B124" s="51" t="inlineStr">
        <is>
          <t>Chip Trayanum</t>
        </is>
      </c>
      <c r="C124" s="50" t="inlineStr">
        <is>
          <t>NYJ</t>
        </is>
      </c>
      <c r="D124" s="50" t="inlineStr">
        <is>
          <t>LV</t>
        </is>
      </c>
      <c r="E124" s="52" t="n">
        <v>4000</v>
      </c>
      <c r="F124" s="53" t="n"/>
      <c r="G124" s="53" t="n"/>
      <c r="H124" s="53" t="n"/>
      <c r="I124" s="53" t="n"/>
      <c r="J124" s="53">
        <f>IF(OR(ISBLANK(G124), NOT(ISNUMBER(G124))), "", IF(G124 &lt; 0, -G124 / (-G124 + 100), 100 / (G124 + 100)))</f>
        <v/>
      </c>
      <c r="K124" s="40" t="n">
        <v>0</v>
      </c>
      <c r="L124" s="40" t="n">
        <v>0</v>
      </c>
      <c r="M124" s="40" t="n">
        <v>0</v>
      </c>
      <c r="N124" s="40" t="n">
        <v>0</v>
      </c>
      <c r="O124" s="41" t="n">
        <v>0.08</v>
      </c>
    </row>
    <row r="125">
      <c r="A125" s="50" t="n">
        <v>121</v>
      </c>
      <c r="B125" s="51" t="inlineStr">
        <is>
          <t>Carlos Washington Jr.</t>
        </is>
      </c>
      <c r="C125" s="50" t="inlineStr">
        <is>
          <t>MIA</t>
        </is>
      </c>
      <c r="D125" s="50" t="inlineStr">
        <is>
          <t>MIN</t>
        </is>
      </c>
      <c r="E125" s="52" t="n">
        <v>4200</v>
      </c>
      <c r="F125" s="53" t="n"/>
      <c r="G125" s="55" t="n"/>
      <c r="H125" s="53" t="n"/>
      <c r="I125" s="53" t="n"/>
      <c r="J125" s="40" t="n">
        <v>0.0345</v>
      </c>
      <c r="K125" s="40" t="n">
        <v>0</v>
      </c>
      <c r="L125" s="40" t="n">
        <v>0</v>
      </c>
      <c r="M125" s="40" t="n">
        <v>0</v>
      </c>
      <c r="N125" s="40" t="n">
        <v>0</v>
      </c>
      <c r="O125" s="41" t="n">
        <v>0.08</v>
      </c>
    </row>
    <row r="126">
      <c r="A126" s="50" t="n">
        <v>122</v>
      </c>
      <c r="B126" s="51" t="inlineStr">
        <is>
          <t>Anderson Castle</t>
        </is>
      </c>
      <c r="C126" s="50" t="inlineStr">
        <is>
          <t>IND</t>
        </is>
      </c>
      <c r="D126" s="50" t="inlineStr">
        <is>
          <t>HOU</t>
        </is>
      </c>
      <c r="E126" s="52" t="n">
        <v>4000</v>
      </c>
      <c r="F126" s="53" t="n"/>
      <c r="G126" s="53" t="n"/>
      <c r="H126" s="53" t="n"/>
      <c r="I126" s="53" t="n"/>
      <c r="J126" s="53">
        <f>IF(OR(ISBLANK(G126), NOT(ISNUMBER(G126))), "", IF(G126 &lt; 0, -G126 / (-G126 + 100), 100 / (G126 + 100)))</f>
        <v/>
      </c>
      <c r="K126" s="40" t="n">
        <v>0</v>
      </c>
      <c r="L126" s="40" t="n">
        <v>0</v>
      </c>
      <c r="M126" s="40" t="n">
        <v>0</v>
      </c>
      <c r="N126" s="40" t="n">
        <v>0</v>
      </c>
      <c r="O126" s="41" t="n">
        <v>0.08</v>
      </c>
    </row>
    <row r="127">
      <c r="A127" s="50" t="n">
        <v>123</v>
      </c>
      <c r="B127" s="51" t="inlineStr">
        <is>
          <t>Myles Montgomery</t>
        </is>
      </c>
      <c r="C127" s="50" t="inlineStr">
        <is>
          <t>NE</t>
        </is>
      </c>
      <c r="D127" s="50" t="inlineStr">
        <is>
          <t>NYJ</t>
        </is>
      </c>
      <c r="E127" s="52" t="n">
        <v>4000</v>
      </c>
      <c r="F127" s="53" t="n"/>
      <c r="G127" s="53" t="n"/>
      <c r="H127" s="53" t="n"/>
      <c r="I127" s="53" t="n"/>
      <c r="J127" s="53">
        <f>IF(OR(ISBLANK(G127), NOT(ISNUMBER(G127))), "", IF(G127 &lt; 0, -G127 / (-G127 + 100), 100 / (G127 + 100)))</f>
        <v/>
      </c>
      <c r="K127" s="40" t="n">
        <v>0</v>
      </c>
      <c r="L127" s="40" t="n">
        <v>0</v>
      </c>
      <c r="M127" s="40" t="n">
        <v>0</v>
      </c>
      <c r="N127" s="40" t="n">
        <v>0</v>
      </c>
      <c r="O127" s="41" t="n">
        <v>0.08</v>
      </c>
    </row>
    <row r="128">
      <c r="A128" s="50" t="n">
        <v>124</v>
      </c>
      <c r="B128" s="51" t="inlineStr">
        <is>
          <t>Israel Abanikanda</t>
        </is>
      </c>
      <c r="C128" s="50" t="inlineStr">
        <is>
          <t>DAL</t>
        </is>
      </c>
      <c r="D128" s="50" t="inlineStr">
        <is>
          <t>HOU</t>
        </is>
      </c>
      <c r="E128" s="52" t="n">
        <v>4000</v>
      </c>
      <c r="F128" s="53" t="n"/>
      <c r="G128" s="53" t="n"/>
      <c r="H128" s="53" t="n"/>
      <c r="I128" s="53" t="n"/>
      <c r="J128" s="53">
        <f>IF(OR(ISBLANK(G128), NOT(ISNUMBER(G128))), "", IF(G128 &lt; 0, -G128 / (-G128 + 100), 100 / (G128 + 100)))</f>
        <v/>
      </c>
      <c r="K128" s="40" t="n">
        <v>0</v>
      </c>
      <c r="L128" s="40" t="n">
        <v>0</v>
      </c>
      <c r="M128" s="40" t="n">
        <v>0</v>
      </c>
      <c r="N128" s="40" t="n">
        <v>0</v>
      </c>
      <c r="O128" s="41" t="n">
        <v>0.08</v>
      </c>
    </row>
    <row r="129">
      <c r="A129" s="50" t="n">
        <v>125</v>
      </c>
      <c r="B129" s="51" t="inlineStr">
        <is>
          <t>Jaydn Ott</t>
        </is>
      </c>
      <c r="C129" s="50" t="inlineStr">
        <is>
          <t>KC</t>
        </is>
      </c>
      <c r="D129" s="50" t="inlineStr">
        <is>
          <t>LAC</t>
        </is>
      </c>
      <c r="E129" s="52" t="n">
        <v>4000</v>
      </c>
      <c r="F129" s="53" t="n"/>
      <c r="G129" s="55" t="n">
        <v>2400</v>
      </c>
      <c r="H129" s="53" t="n"/>
      <c r="I129" s="53" t="n"/>
      <c r="J129" s="40" t="n">
        <v>0.04</v>
      </c>
      <c r="K129" s="40" t="n">
        <v>0.24</v>
      </c>
      <c r="L129" s="40" t="n">
        <v>0</v>
      </c>
      <c r="M129" s="40" t="n">
        <v>0.24</v>
      </c>
      <c r="N129" s="40" t="n">
        <v>0.06</v>
      </c>
      <c r="O129" s="41" t="n">
        <v>0</v>
      </c>
    </row>
    <row r="130">
      <c r="A130" s="50" t="n">
        <v>126</v>
      </c>
      <c r="B130" s="51" t="inlineStr">
        <is>
          <t>Kentrel Bullock</t>
        </is>
      </c>
      <c r="C130" s="50" t="inlineStr">
        <is>
          <t>CIN</t>
        </is>
      </c>
      <c r="D130" s="50" t="inlineStr">
        <is>
          <t>JAC</t>
        </is>
      </c>
      <c r="E130" s="52" t="n">
        <v>4000</v>
      </c>
      <c r="F130" s="53" t="n"/>
      <c r="G130" s="53" t="n"/>
      <c r="H130" s="53" t="n"/>
      <c r="I130" s="53" t="n"/>
      <c r="J130" s="53">
        <f>IF(OR(ISBLANK(G130), NOT(ISNUMBER(G130))), "", IF(G130 &lt; 0, -G130 / (-G130 + 100), 100 / (G130 + 100)))</f>
        <v/>
      </c>
      <c r="K130" s="40" t="n">
        <v>0</v>
      </c>
      <c r="L130" s="40" t="n">
        <v>0</v>
      </c>
      <c r="M130" s="40" t="n">
        <v>0</v>
      </c>
      <c r="N130" s="40" t="n">
        <v>0</v>
      </c>
      <c r="O130" s="41" t="n">
        <v>0.08</v>
      </c>
    </row>
    <row r="131">
      <c r="A131" s="50" t="n">
        <v>127</v>
      </c>
      <c r="B131" s="51" t="inlineStr">
        <is>
          <t>Al-Jay Henderson</t>
        </is>
      </c>
      <c r="C131" s="50" t="inlineStr">
        <is>
          <t>NYJ</t>
        </is>
      </c>
      <c r="D131" s="50" t="inlineStr">
        <is>
          <t>NE</t>
        </is>
      </c>
      <c r="E131" s="52" t="n">
        <v>4000</v>
      </c>
      <c r="F131" s="53" t="n"/>
      <c r="G131" s="53" t="n"/>
      <c r="H131" s="53" t="n"/>
      <c r="I131" s="53" t="n"/>
      <c r="J131" s="53">
        <f>IF(OR(ISBLANK(G131), NOT(ISNUMBER(G131))), "", IF(G131 &lt; 0, -G131 / (-G131 + 100), 100 / (G131 + 100)))</f>
        <v/>
      </c>
      <c r="K131" s="40" t="n">
        <v>0</v>
      </c>
      <c r="L131" s="40" t="n">
        <v>0</v>
      </c>
      <c r="M131" s="40" t="n">
        <v>0</v>
      </c>
      <c r="N131" s="40" t="n">
        <v>0</v>
      </c>
      <c r="O131" s="41" t="n">
        <v>0.08</v>
      </c>
    </row>
    <row r="132">
      <c r="A132" s="50" t="n">
        <v>128</v>
      </c>
      <c r="B132" s="51" t="inlineStr">
        <is>
          <t>Adam Randall</t>
        </is>
      </c>
      <c r="C132" s="50" t="inlineStr">
        <is>
          <t>BAL</t>
        </is>
      </c>
      <c r="D132" s="50" t="inlineStr">
        <is>
          <t>CLE</t>
        </is>
      </c>
      <c r="E132" s="52" t="n">
        <v>4000</v>
      </c>
      <c r="F132" s="53" t="n"/>
      <c r="G132" s="53" t="n"/>
      <c r="H132" s="53" t="n"/>
      <c r="I132" s="53" t="n"/>
      <c r="J132" s="53">
        <f>IF(OR(ISBLANK(G132), NOT(ISNUMBER(G132))), "", IF(G132 &lt; 0, -G132 / (-G132 + 100), 100 / (G132 + 100)))</f>
        <v/>
      </c>
      <c r="K132" s="40" t="n">
        <v>0</v>
      </c>
      <c r="L132" s="40" t="n">
        <v>0</v>
      </c>
      <c r="M132" s="40" t="n">
        <v>0</v>
      </c>
      <c r="N132" s="40" t="n">
        <v>0</v>
      </c>
      <c r="O132" s="41" t="n">
        <v>0.08</v>
      </c>
    </row>
    <row r="133">
      <c r="A133" s="50" t="n">
        <v>129</v>
      </c>
      <c r="B133" s="51" t="inlineStr">
        <is>
          <t>Michael Burton</t>
        </is>
      </c>
      <c r="C133" s="50" t="inlineStr">
        <is>
          <t>CLE</t>
        </is>
      </c>
      <c r="D133" s="50" t="inlineStr">
        <is>
          <t>BAL</t>
        </is>
      </c>
      <c r="E133" s="52" t="n">
        <v>4000</v>
      </c>
      <c r="F133" s="53" t="n"/>
      <c r="G133" s="55" t="n">
        <v>2400</v>
      </c>
      <c r="H133" s="53" t="n"/>
      <c r="I133" s="53" t="n"/>
      <c r="J133" s="40" t="n">
        <v>0.04</v>
      </c>
      <c r="K133" s="40" t="n">
        <v>0.24</v>
      </c>
      <c r="L133" s="40" t="n">
        <v>0</v>
      </c>
      <c r="M133" s="40" t="n">
        <v>0.24</v>
      </c>
      <c r="N133" s="40" t="n">
        <v>0.06</v>
      </c>
      <c r="O133" s="41" t="n">
        <v>0</v>
      </c>
    </row>
    <row r="134">
      <c r="A134" s="50" t="n">
        <v>130</v>
      </c>
      <c r="B134" s="51" t="inlineStr">
        <is>
          <t>Jonathan Ward</t>
        </is>
      </c>
      <c r="C134" s="50" t="inlineStr">
        <is>
          <t>BAL</t>
        </is>
      </c>
      <c r="D134" s="50" t="inlineStr">
        <is>
          <t>CLE</t>
        </is>
      </c>
      <c r="E134" s="52" t="n">
        <v>4000</v>
      </c>
      <c r="F134" s="53" t="n"/>
      <c r="G134" s="53" t="n"/>
      <c r="H134" s="53" t="n"/>
      <c r="I134" s="53" t="n"/>
      <c r="J134" s="53">
        <f>IF(OR(ISBLANK(G134), NOT(ISNUMBER(G134))), "", IF(G134 &lt; 0, -G134 / (-G134 + 100), 100 / (G134 + 100)))</f>
        <v/>
      </c>
      <c r="K134" s="40" t="n">
        <v>0</v>
      </c>
      <c r="L134" s="40" t="n">
        <v>0</v>
      </c>
      <c r="M134" s="40" t="n">
        <v>0</v>
      </c>
      <c r="N134" s="40" t="n">
        <v>0</v>
      </c>
      <c r="O134" s="41" t="n">
        <v>0.08</v>
      </c>
    </row>
    <row r="135">
      <c r="A135" s="50" t="n">
        <v>131</v>
      </c>
      <c r="B135" s="51" t="inlineStr">
        <is>
          <t>Robert Henry Jr.</t>
        </is>
      </c>
      <c r="C135" s="50" t="inlineStr">
        <is>
          <t>WAS</t>
        </is>
      </c>
      <c r="D135" s="50" t="inlineStr">
        <is>
          <t>SEA</t>
        </is>
      </c>
      <c r="E135" s="52" t="n">
        <v>4000</v>
      </c>
      <c r="F135" s="53" t="n"/>
      <c r="G135" s="53" t="n"/>
      <c r="H135" s="53" t="n"/>
      <c r="I135" s="53" t="n"/>
      <c r="J135" s="53">
        <f>IF(OR(ISBLANK(G135), NOT(ISNUMBER(G135))), "", IF(G135 &lt; 0, -G135 / (-G135 + 100), 100 / (G135 + 100)))</f>
        <v/>
      </c>
      <c r="K135" s="40" t="n">
        <v>0</v>
      </c>
      <c r="L135" s="40" t="n">
        <v>0</v>
      </c>
      <c r="M135" s="40" t="n">
        <v>0</v>
      </c>
      <c r="N135" s="40" t="n">
        <v>0</v>
      </c>
      <c r="O135" s="41" t="n">
        <v>0.08</v>
      </c>
    </row>
    <row r="136">
      <c r="A136" s="50" t="n">
        <v>132</v>
      </c>
      <c r="B136" s="51" t="inlineStr">
        <is>
          <t>J'Mari Taylor</t>
        </is>
      </c>
      <c r="C136" s="50" t="inlineStr">
        <is>
          <t>JAC</t>
        </is>
      </c>
      <c r="D136" s="50" t="inlineStr">
        <is>
          <t>CIN</t>
        </is>
      </c>
      <c r="E136" s="52" t="n">
        <v>4000</v>
      </c>
      <c r="F136" s="53" t="n"/>
      <c r="G136" s="53" t="n"/>
      <c r="H136" s="53" t="n"/>
      <c r="I136" s="53" t="n"/>
      <c r="J136" s="53">
        <f>IF(OR(ISBLANK(G136), NOT(ISNUMBER(G136))), "", IF(G136 &lt; 0, -G136 / (-G136 + 100), 100 / (G136 + 100)))</f>
        <v/>
      </c>
      <c r="K136" s="40" t="n">
        <v>0</v>
      </c>
      <c r="L136" s="40" t="n">
        <v>0</v>
      </c>
      <c r="M136" s="40" t="n">
        <v>0</v>
      </c>
      <c r="N136" s="40" t="n">
        <v>0</v>
      </c>
      <c r="O136" s="41" t="n">
        <v>0.08</v>
      </c>
    </row>
    <row r="137">
      <c r="A137" s="50" t="n">
        <v>133</v>
      </c>
      <c r="B137" s="51" t="inlineStr">
        <is>
          <t>Sincere McCormick</t>
        </is>
      </c>
      <c r="C137" s="50" t="inlineStr">
        <is>
          <t>SF</t>
        </is>
      </c>
      <c r="D137" s="50" t="inlineStr">
        <is>
          <t>DEN</t>
        </is>
      </c>
      <c r="E137" s="52" t="n">
        <v>4000</v>
      </c>
      <c r="F137" s="53" t="n"/>
      <c r="G137" s="53" t="n"/>
      <c r="H137" s="53" t="n"/>
      <c r="I137" s="53" t="n"/>
      <c r="J137" s="53">
        <f>IF(OR(ISBLANK(G137), NOT(ISNUMBER(G137))), "", IF(G137 &lt; 0, -G137 / (-G137 + 100), 100 / (G137 + 100)))</f>
        <v/>
      </c>
      <c r="K137" s="40" t="n">
        <v>0</v>
      </c>
      <c r="L137" s="40" t="n">
        <v>0</v>
      </c>
      <c r="M137" s="40" t="n">
        <v>0</v>
      </c>
      <c r="N137" s="40" t="n">
        <v>0</v>
      </c>
      <c r="O137" s="41" t="n">
        <v>0.08</v>
      </c>
    </row>
    <row r="138">
      <c r="A138" s="50" t="n">
        <v>134</v>
      </c>
      <c r="B138" s="51" t="inlineStr">
        <is>
          <t>Chris Collier</t>
        </is>
      </c>
      <c r="C138" s="50" t="inlineStr">
        <is>
          <t>LV</t>
        </is>
      </c>
      <c r="D138" s="50" t="inlineStr">
        <is>
          <t>BUF</t>
        </is>
      </c>
      <c r="E138" s="52" t="n">
        <v>4000</v>
      </c>
      <c r="F138" s="53" t="n"/>
      <c r="G138" s="53" t="n"/>
      <c r="H138" s="53" t="n"/>
      <c r="I138" s="53" t="n"/>
      <c r="J138" s="53">
        <f>IF(OR(ISBLANK(G138), NOT(ISNUMBER(G138))), "", IF(G138 &lt; 0, -G138 / (-G138 + 100), 100 / (G138 + 100)))</f>
        <v/>
      </c>
      <c r="K138" s="40" t="n">
        <v>0</v>
      </c>
      <c r="L138" s="40" t="n">
        <v>0</v>
      </c>
      <c r="M138" s="40" t="n">
        <v>0</v>
      </c>
      <c r="N138" s="40" t="n">
        <v>0</v>
      </c>
      <c r="O138" s="41" t="n">
        <v>0.08</v>
      </c>
    </row>
    <row r="139">
      <c r="A139" s="50" t="n">
        <v>135</v>
      </c>
      <c r="B139" s="51" t="inlineStr">
        <is>
          <t>Lew Nichols</t>
        </is>
      </c>
      <c r="C139" s="50" t="inlineStr">
        <is>
          <t>PIT</t>
        </is>
      </c>
      <c r="D139" s="50" t="inlineStr">
        <is>
          <t>TB</t>
        </is>
      </c>
      <c r="E139" s="52" t="n">
        <v>4000</v>
      </c>
      <c r="F139" s="53" t="n"/>
      <c r="G139" s="55" t="n">
        <v>2400</v>
      </c>
      <c r="H139" s="53" t="n"/>
      <c r="I139" s="53" t="n"/>
      <c r="J139" s="40" t="n">
        <v>0.04</v>
      </c>
      <c r="K139" s="40" t="n">
        <v>0.24</v>
      </c>
      <c r="L139" s="40" t="n">
        <v>0</v>
      </c>
      <c r="M139" s="40" t="n">
        <v>0.24</v>
      </c>
      <c r="N139" s="40" t="n">
        <v>0.06</v>
      </c>
      <c r="O139" s="41" t="n">
        <v>0</v>
      </c>
    </row>
    <row r="140">
      <c r="A140" s="50" t="n">
        <v>136</v>
      </c>
      <c r="B140" s="51" t="inlineStr">
        <is>
          <t>Gregory Desrosiers</t>
        </is>
      </c>
      <c r="C140" s="50" t="inlineStr">
        <is>
          <t>LAC</t>
        </is>
      </c>
      <c r="D140" s="50" t="inlineStr">
        <is>
          <t>KC</t>
        </is>
      </c>
      <c r="E140" s="52" t="n">
        <v>4000</v>
      </c>
      <c r="F140" s="53" t="n"/>
      <c r="G140" s="53" t="n"/>
      <c r="H140" s="53" t="n"/>
      <c r="I140" s="53" t="n"/>
      <c r="J140" s="53">
        <f>IF(OR(ISBLANK(G140), NOT(ISNUMBER(G140))), "", IF(G140 &lt; 0, -G140 / (-G140 + 100), 100 / (G140 + 100)))</f>
        <v/>
      </c>
      <c r="K140" s="40" t="n">
        <v>0</v>
      </c>
      <c r="L140" s="40" t="n">
        <v>0</v>
      </c>
      <c r="M140" s="40" t="n">
        <v>0</v>
      </c>
      <c r="N140" s="40" t="n">
        <v>0</v>
      </c>
      <c r="O140" s="41" t="n">
        <v>0.08</v>
      </c>
    </row>
    <row r="141">
      <c r="A141" s="50" t="n">
        <v>137</v>
      </c>
      <c r="B141" s="51" t="inlineStr">
        <is>
          <t>Grant Finley</t>
        </is>
      </c>
      <c r="C141" s="50" t="inlineStr">
        <is>
          <t>NYG</t>
        </is>
      </c>
      <c r="D141" s="50" t="inlineStr">
        <is>
          <t>NO</t>
        </is>
      </c>
      <c r="E141" s="52" t="n">
        <v>4000</v>
      </c>
      <c r="F141" s="53" t="n"/>
      <c r="G141" s="53" t="n"/>
      <c r="H141" s="53" t="n"/>
      <c r="I141" s="53" t="n"/>
      <c r="J141" s="53">
        <f>IF(OR(ISBLANK(G141), NOT(ISNUMBER(G141))), "", IF(G141 &lt; 0, -G141 / (-G141 + 100), 100 / (G141 + 100)))</f>
        <v/>
      </c>
      <c r="K141" s="40" t="n">
        <v>0</v>
      </c>
      <c r="L141" s="40" t="n">
        <v>0</v>
      </c>
      <c r="M141" s="40" t="n">
        <v>0</v>
      </c>
      <c r="N141" s="40" t="n">
        <v>0</v>
      </c>
      <c r="O141" s="41" t="n">
        <v>0.08</v>
      </c>
    </row>
    <row r="142">
      <c r="A142" s="50" t="n">
        <v>138</v>
      </c>
      <c r="B142" s="51" t="inlineStr">
        <is>
          <t>Roman Hemby</t>
        </is>
      </c>
      <c r="C142" s="50" t="inlineStr">
        <is>
          <t>LV</t>
        </is>
      </c>
      <c r="D142" s="50" t="inlineStr">
        <is>
          <t>BUF</t>
        </is>
      </c>
      <c r="E142" s="52" t="n">
        <v>4000</v>
      </c>
      <c r="F142" s="53" t="n"/>
      <c r="G142" s="53" t="n"/>
      <c r="H142" s="53" t="n"/>
      <c r="I142" s="53" t="n"/>
      <c r="J142" s="53">
        <f>IF(OR(ISBLANK(G142), NOT(ISNUMBER(G142))), "", IF(G142 &lt; 0, -G142 / (-G142 + 100), 100 / (G142 + 100)))</f>
        <v/>
      </c>
      <c r="K142" s="40" t="n">
        <v>0</v>
      </c>
      <c r="L142" s="40" t="n">
        <v>0</v>
      </c>
      <c r="M142" s="40" t="n">
        <v>0</v>
      </c>
      <c r="N142" s="40" t="n">
        <v>0</v>
      </c>
      <c r="O142" s="41" t="n">
        <v>0.08</v>
      </c>
    </row>
    <row r="143">
      <c r="A143" s="50" t="n">
        <v>139</v>
      </c>
      <c r="B143" s="51" t="inlineStr">
        <is>
          <t>Brock Lampe</t>
        </is>
      </c>
      <c r="C143" s="50" t="inlineStr">
        <is>
          <t>BUF</t>
        </is>
      </c>
      <c r="D143" s="50" t="inlineStr">
        <is>
          <t>LV</t>
        </is>
      </c>
      <c r="E143" s="52" t="n">
        <v>4000</v>
      </c>
      <c r="F143" s="53" t="n"/>
      <c r="G143" s="53" t="n"/>
      <c r="H143" s="53" t="n"/>
      <c r="I143" s="53" t="n"/>
      <c r="J143" s="53">
        <f>IF(OR(ISBLANK(G143), NOT(ISNUMBER(G143))), "", IF(G143 &lt; 0, -G143 / (-G143 + 100), 100 / (G143 + 100)))</f>
        <v/>
      </c>
      <c r="K143" s="40" t="n">
        <v>0</v>
      </c>
      <c r="L143" s="40" t="n">
        <v>0</v>
      </c>
      <c r="M143" s="40" t="n">
        <v>0</v>
      </c>
      <c r="N143" s="40" t="n">
        <v>0</v>
      </c>
      <c r="O143" s="41" t="n">
        <v>0.08</v>
      </c>
    </row>
    <row r="144">
      <c r="A144" s="50" t="n">
        <v>140</v>
      </c>
      <c r="B144" s="51" t="inlineStr">
        <is>
          <t>Max Bredeson</t>
        </is>
      </c>
      <c r="C144" s="50" t="inlineStr">
        <is>
          <t>MIN</t>
        </is>
      </c>
      <c r="D144" s="50" t="inlineStr">
        <is>
          <t>MIA</t>
        </is>
      </c>
      <c r="E144" s="52" t="n">
        <v>4000</v>
      </c>
      <c r="F144" s="53" t="n"/>
      <c r="G144" s="55" t="n">
        <v>1900</v>
      </c>
      <c r="H144" s="53" t="n"/>
      <c r="I144" s="53" t="n"/>
      <c r="J144" s="40" t="n">
        <v>0.05</v>
      </c>
      <c r="K144" s="40" t="n">
        <v>0.3</v>
      </c>
      <c r="L144" s="40" t="n">
        <v>0</v>
      </c>
      <c r="M144" s="40" t="n">
        <v>0.3</v>
      </c>
      <c r="N144" s="40" t="n">
        <v>0.08</v>
      </c>
      <c r="O144" s="41" t="n">
        <v>0</v>
      </c>
    </row>
    <row r="145">
      <c r="A145" s="50" t="n">
        <v>141</v>
      </c>
      <c r="B145" s="51" t="inlineStr">
        <is>
          <t>Davon Booth</t>
        </is>
      </c>
      <c r="C145" s="50" t="inlineStr">
        <is>
          <t>IND</t>
        </is>
      </c>
      <c r="D145" s="50" t="inlineStr">
        <is>
          <t>TEN</t>
        </is>
      </c>
      <c r="E145" s="52" t="n">
        <v>4000</v>
      </c>
      <c r="F145" s="53" t="n"/>
      <c r="G145" s="53" t="n"/>
      <c r="H145" s="53" t="n"/>
      <c r="I145" s="53" t="n"/>
      <c r="J145" s="53">
        <f>IF(OR(ISBLANK(G145), NOT(ISNUMBER(G145))), "", IF(G145 &lt; 0, -G145 / (-G145 + 100), 100 / (G145 + 100)))</f>
        <v/>
      </c>
      <c r="K145" s="40" t="n">
        <v>0</v>
      </c>
      <c r="L145" s="40" t="n">
        <v>0</v>
      </c>
      <c r="M145" s="40" t="n">
        <v>0</v>
      </c>
      <c r="N145" s="40" t="n">
        <v>0</v>
      </c>
      <c r="O145" s="41" t="n">
        <v>0.08</v>
      </c>
    </row>
    <row r="146">
      <c r="A146" s="50" t="n">
        <v>142</v>
      </c>
      <c r="B146" s="51" t="inlineStr">
        <is>
          <t>Jabari Small</t>
        </is>
      </c>
      <c r="C146" s="50" t="inlineStr">
        <is>
          <t>DET</t>
        </is>
      </c>
      <c r="D146" s="50" t="inlineStr">
        <is>
          <t>NYJ</t>
        </is>
      </c>
      <c r="E146" s="52" t="n">
        <v>4000</v>
      </c>
      <c r="F146" s="53" t="n"/>
      <c r="G146" s="53" t="n"/>
      <c r="H146" s="53" t="n"/>
      <c r="I146" s="53" t="n"/>
      <c r="J146" s="53">
        <f>IF(OR(ISBLANK(G146), NOT(ISNUMBER(G146))), "", IF(G146 &lt; 0, -G146 / (-G146 + 100), 100 / (G146 + 100)))</f>
        <v/>
      </c>
      <c r="K146" s="40" t="n">
        <v>0</v>
      </c>
      <c r="L146" s="40" t="n">
        <v>0</v>
      </c>
      <c r="M146" s="40" t="n">
        <v>0</v>
      </c>
      <c r="N146" s="40" t="n">
        <v>0</v>
      </c>
      <c r="O146" s="41" t="n">
        <v>0.08</v>
      </c>
    </row>
    <row r="147">
      <c r="A147" s="50" t="n">
        <v>143</v>
      </c>
      <c r="B147" s="51" t="inlineStr">
        <is>
          <t>Noah Whittington</t>
        </is>
      </c>
      <c r="C147" s="50" t="inlineStr">
        <is>
          <t>HOU</t>
        </is>
      </c>
      <c r="D147" s="50" t="inlineStr">
        <is>
          <t>DAL</t>
        </is>
      </c>
      <c r="E147" s="52" t="n">
        <v>4000</v>
      </c>
      <c r="F147" s="53" t="n"/>
      <c r="G147" s="53" t="n"/>
      <c r="H147" s="53" t="n"/>
      <c r="I147" s="53" t="n"/>
      <c r="J147" s="53">
        <f>IF(OR(ISBLANK(G147), NOT(ISNUMBER(G147))), "", IF(G147 &lt; 0, -G147 / (-G147 + 100), 100 / (G147 + 100)))</f>
        <v/>
      </c>
      <c r="K147" s="40" t="n">
        <v>0</v>
      </c>
      <c r="L147" s="40" t="n">
        <v>0</v>
      </c>
      <c r="M147" s="40" t="n">
        <v>0</v>
      </c>
      <c r="N147" s="40" t="n">
        <v>0</v>
      </c>
      <c r="O147" s="41" t="n">
        <v>0.08</v>
      </c>
    </row>
    <row r="148">
      <c r="A148" s="50" t="n">
        <v>144</v>
      </c>
      <c r="B148" s="51" t="inlineStr">
        <is>
          <t>Chip Trayanum</t>
        </is>
      </c>
      <c r="C148" s="50" t="inlineStr">
        <is>
          <t>NYJ</t>
        </is>
      </c>
      <c r="D148" s="50" t="inlineStr">
        <is>
          <t>NE</t>
        </is>
      </c>
      <c r="E148" s="52" t="n">
        <v>4000</v>
      </c>
      <c r="F148" s="53" t="n"/>
      <c r="G148" s="53" t="n"/>
      <c r="H148" s="53" t="n"/>
      <c r="I148" s="53" t="n"/>
      <c r="J148" s="53">
        <f>IF(OR(ISBLANK(G148), NOT(ISNUMBER(G148))), "", IF(G148 &lt; 0, -G148 / (-G148 + 100), 100 / (G148 + 100)))</f>
        <v/>
      </c>
      <c r="K148" s="40" t="n">
        <v>0</v>
      </c>
      <c r="L148" s="40" t="n">
        <v>0</v>
      </c>
      <c r="M148" s="40" t="n">
        <v>0</v>
      </c>
      <c r="N148" s="40" t="n">
        <v>0</v>
      </c>
      <c r="O148" s="41" t="n">
        <v>0.08</v>
      </c>
    </row>
  </sheetData>
  <autoFilter ref="A4:O124">
    <sortState ref="A5:L52">
      <sortCondition descending="1" ref="L4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2"/>
  <sheetViews>
    <sheetView tabSelected="1" workbookViewId="0">
      <pane ySplit="4" topLeftCell="A5" activePane="bottomLeft" state="frozen"/>
      <selection pane="bottomLeft" activeCell="B8" sqref="B8"/>
    </sheetView>
  </sheetViews>
  <sheetFormatPr baseColWidth="8" defaultRowHeight="14.4"/>
  <cols>
    <col width="12" customWidth="1" style="29" min="1" max="1"/>
    <col width="25" customWidth="1" style="29" min="2" max="2"/>
    <col width="12" customWidth="1" style="29" min="3" max="5"/>
    <col width="15" customWidth="1" style="29" min="6" max="6"/>
    <col width="19" customWidth="1" style="29" min="7" max="8"/>
    <col width="16.33203125" bestFit="1" customWidth="1" style="29" min="9" max="9"/>
    <col width="13" bestFit="1" customWidth="1" style="29" min="10" max="10"/>
    <col width="13" bestFit="1" customWidth="1" style="29" min="11" max="11"/>
    <col width="16" customWidth="1" style="29" min="12" max="12"/>
    <col width="10" customWidth="1" style="29" min="13" max="13"/>
    <col width="14" customWidth="1" style="29" min="14" max="14"/>
  </cols>
  <sheetData>
    <row r="1" ht="21" customHeight="1" s="29">
      <c r="A1" s="1" t="inlineStr">
        <is>
          <t>Wide Receivers (WR) - Sportsbook Props Projection Model</t>
        </is>
      </c>
    </row>
    <row r="2">
      <c r="A2" s="2" t="n"/>
    </row>
    <row r="3"/>
    <row r="4" ht="28.8" customHeight="1" s="29">
      <c r="A4" s="9" t="inlineStr">
        <is>
          <t>Rank</t>
        </is>
      </c>
      <c r="B4" s="8" t="inlineStr">
        <is>
          <t>Player Name</t>
        </is>
      </c>
      <c r="C4" s="9" t="inlineStr">
        <is>
          <t>Team</t>
        </is>
      </c>
      <c r="D4" s="9" t="inlineStr">
        <is>
          <t>Opponent</t>
        </is>
      </c>
      <c r="E4" s="9" t="inlineStr">
        <is>
          <t>Salary</t>
        </is>
      </c>
      <c r="F4" s="32" t="inlineStr">
        <is>
          <t>Rec Yds Prop</t>
        </is>
      </c>
      <c r="G4" s="32" t="inlineStr">
        <is>
          <t>Anytime TD Odds</t>
        </is>
      </c>
      <c r="H4" s="32" t="inlineStr">
        <is>
          <t>Receptions Prop</t>
        </is>
      </c>
      <c r="I4" s="32" t="inlineStr">
        <is>
          <t>Implied TD %</t>
        </is>
      </c>
      <c r="J4" s="32" t="inlineStr">
        <is>
          <t>Projected Score</t>
        </is>
      </c>
      <c r="K4" s="32" t="inlineStr">
        <is>
          <t>ESPN Projection</t>
        </is>
      </c>
      <c r="L4" s="32" t="inlineStr">
        <is>
          <t>Weighted Projection</t>
        </is>
      </c>
      <c r="M4" s="32" t="inlineStr">
        <is>
          <t>Value</t>
        </is>
      </c>
      <c r="N4" s="32" t="inlineStr">
        <is>
          <t>Projected Ownership</t>
        </is>
      </c>
    </row>
    <row r="5">
      <c r="A5" s="42" t="n">
        <v>1</v>
      </c>
      <c r="B5" s="43" t="inlineStr">
        <is>
          <t>CeeDee Lamb</t>
        </is>
      </c>
      <c r="C5" s="42" t="inlineStr">
        <is>
          <t>DAL</t>
        </is>
      </c>
      <c r="D5" s="42" t="inlineStr">
        <is>
          <t>ARI</t>
        </is>
      </c>
      <c r="E5" s="44" t="n">
        <v>8900</v>
      </c>
      <c r="F5" s="38" t="n"/>
      <c r="G5" s="54" t="n">
        <v>100</v>
      </c>
      <c r="H5" s="38" t="n"/>
      <c r="I5" s="45" t="n">
        <v>0.5</v>
      </c>
      <c r="J5" s="45" t="n">
        <v>3</v>
      </c>
      <c r="K5" s="45" t="n">
        <v>18.9</v>
      </c>
      <c r="L5" s="40" t="n">
        <v>9.359999999999999</v>
      </c>
      <c r="M5" s="40" t="n">
        <v>1.05</v>
      </c>
      <c r="N5" s="41" t="n">
        <v>0.0608</v>
      </c>
    </row>
    <row r="6">
      <c r="A6" s="35" t="n">
        <v>2</v>
      </c>
      <c r="B6" s="36" t="inlineStr">
        <is>
          <t>Amon-Ra St. Brown</t>
        </is>
      </c>
      <c r="C6" s="35" t="inlineStr">
        <is>
          <t>DET</t>
        </is>
      </c>
      <c r="D6" s="35" t="inlineStr">
        <is>
          <t>MIN</t>
        </is>
      </c>
      <c r="E6" s="37" t="n">
        <v>8500</v>
      </c>
      <c r="F6" s="38" t="n">
        <v>78.5</v>
      </c>
      <c r="G6" s="54" t="n">
        <v>125</v>
      </c>
      <c r="H6" s="38" t="n">
        <v>6.5</v>
      </c>
      <c r="I6" s="39" t="n">
        <v>0.4444</v>
      </c>
      <c r="J6" s="39" t="n">
        <v>13.77</v>
      </c>
      <c r="K6" s="39" t="n">
        <v>16.3</v>
      </c>
      <c r="L6" s="40" t="n">
        <v>14.78</v>
      </c>
      <c r="M6" s="40" t="n">
        <v>1.74</v>
      </c>
      <c r="N6" s="41" t="n">
        <v>0.3334</v>
      </c>
    </row>
    <row r="7">
      <c r="A7" s="35" t="n">
        <v>3</v>
      </c>
      <c r="B7" s="36" t="inlineStr">
        <is>
          <t>Zay Flowers</t>
        </is>
      </c>
      <c r="C7" s="35" t="inlineStr">
        <is>
          <t>BAL</t>
        </is>
      </c>
      <c r="D7" s="35" t="inlineStr">
        <is>
          <t>BUF</t>
        </is>
      </c>
      <c r="E7" s="37" t="n">
        <v>8000</v>
      </c>
      <c r="F7" s="38" t="n"/>
      <c r="G7" s="54" t="n">
        <v>140</v>
      </c>
      <c r="H7" s="38" t="n"/>
      <c r="I7" s="39" t="n">
        <v>0.4167</v>
      </c>
      <c r="J7" s="39" t="n">
        <v>2.5</v>
      </c>
      <c r="K7" s="39" t="n">
        <v>19</v>
      </c>
      <c r="L7" s="40" t="n">
        <v>9.1</v>
      </c>
      <c r="M7" s="40" t="n">
        <v>1.14</v>
      </c>
      <c r="N7" s="41" t="n">
        <v>0.0625</v>
      </c>
    </row>
    <row r="8">
      <c r="A8" s="35" t="n">
        <v>4</v>
      </c>
      <c r="B8" s="36" t="inlineStr">
        <is>
          <t>Omar Cooper Jr.</t>
        </is>
      </c>
      <c r="C8" s="35" t="inlineStr">
        <is>
          <t>NYJ</t>
        </is>
      </c>
      <c r="D8" s="35" t="inlineStr">
        <is>
          <t>LV</t>
        </is>
      </c>
      <c r="E8" s="37" t="n">
        <v>5900</v>
      </c>
      <c r="F8" s="38" t="n"/>
      <c r="G8" s="54" t="n">
        <v>235</v>
      </c>
      <c r="H8" s="38" t="n"/>
      <c r="I8" s="39" t="n">
        <v>0.2985</v>
      </c>
      <c r="J8" s="39" t="n">
        <v>1.79</v>
      </c>
      <c r="K8" s="39" t="n">
        <v>9.9</v>
      </c>
      <c r="L8" s="40" t="n">
        <v>5.03</v>
      </c>
      <c r="M8" s="40" t="n">
        <v>0.85</v>
      </c>
      <c r="N8" s="41" t="n">
        <v>0.0039</v>
      </c>
    </row>
    <row r="9">
      <c r="A9" s="42" t="n">
        <v>5</v>
      </c>
      <c r="B9" s="43" t="inlineStr">
        <is>
          <t>Puka Nacua</t>
        </is>
      </c>
      <c r="C9" s="42" t="inlineStr">
        <is>
          <t>LAR</t>
        </is>
      </c>
      <c r="D9" s="42" t="inlineStr">
        <is>
          <t>LAC</t>
        </is>
      </c>
      <c r="E9" s="44" t="n">
        <v>9100</v>
      </c>
      <c r="F9" s="38" t="n"/>
      <c r="G9" s="54" t="n">
        <v>-135</v>
      </c>
      <c r="H9" s="38" t="n"/>
      <c r="I9" s="45" t="n">
        <v>0.5745</v>
      </c>
      <c r="J9" s="45" t="n">
        <v>3.45</v>
      </c>
      <c r="K9" s="45" t="n">
        <v>21.2</v>
      </c>
      <c r="L9" s="40" t="n">
        <v>10.55</v>
      </c>
      <c r="M9" s="40" t="n">
        <v>1.16</v>
      </c>
      <c r="N9" s="41" t="n">
        <v>0.09320000000000001</v>
      </c>
    </row>
    <row r="10">
      <c r="A10" s="42" t="n">
        <v>6</v>
      </c>
      <c r="B10" s="43" t="inlineStr">
        <is>
          <t>Davante Adams</t>
        </is>
      </c>
      <c r="C10" s="42" t="inlineStr">
        <is>
          <t>LAR</t>
        </is>
      </c>
      <c r="D10" s="42" t="inlineStr">
        <is>
          <t>LAC</t>
        </is>
      </c>
      <c r="E10" s="44" t="n">
        <v>7300</v>
      </c>
      <c r="F10" s="38" t="n"/>
      <c r="G10" s="54" t="n"/>
      <c r="H10" s="38" t="n"/>
      <c r="I10" s="45" t="n">
        <v>0.3846</v>
      </c>
      <c r="J10" s="45" t="n">
        <v>0</v>
      </c>
      <c r="K10" s="45" t="n">
        <v>0</v>
      </c>
      <c r="L10" s="40" t="n">
        <v>0</v>
      </c>
      <c r="M10" s="40" t="n">
        <v>0</v>
      </c>
      <c r="N10" s="41" t="n">
        <v>0.08</v>
      </c>
    </row>
    <row r="11">
      <c r="A11" s="35" t="n">
        <v>7</v>
      </c>
      <c r="B11" s="36" t="inlineStr">
        <is>
          <t>Tee Higgins</t>
        </is>
      </c>
      <c r="C11" s="35" t="inlineStr">
        <is>
          <t>CIN</t>
        </is>
      </c>
      <c r="D11" s="35" t="inlineStr">
        <is>
          <t>TEN</t>
        </is>
      </c>
      <c r="E11" s="37" t="n">
        <v>7100</v>
      </c>
      <c r="F11" s="38" t="n"/>
      <c r="G11" s="54" t="n">
        <v>110</v>
      </c>
      <c r="H11" s="38" t="n"/>
      <c r="I11" s="39" t="n">
        <v>0.4762</v>
      </c>
      <c r="J11" s="39" t="n">
        <v>2.86</v>
      </c>
      <c r="K11" s="39" t="n">
        <v>14.4</v>
      </c>
      <c r="L11" s="40" t="n">
        <v>7.47</v>
      </c>
      <c r="M11" s="40" t="n">
        <v>1.05</v>
      </c>
      <c r="N11" s="41" t="n">
        <v>0.0317</v>
      </c>
    </row>
    <row r="12">
      <c r="A12" s="42" t="n">
        <v>8</v>
      </c>
      <c r="B12" s="43" t="inlineStr">
        <is>
          <t>Parker Washington</t>
        </is>
      </c>
      <c r="C12" s="42" t="inlineStr">
        <is>
          <t>JAC</t>
        </is>
      </c>
      <c r="D12" s="42" t="inlineStr">
        <is>
          <t>IND</t>
        </is>
      </c>
      <c r="E12" s="44" t="n">
        <v>7200</v>
      </c>
      <c r="F12" s="38" t="n"/>
      <c r="G12" s="54" t="n">
        <v>115</v>
      </c>
      <c r="H12" s="38" t="n"/>
      <c r="I12" s="45" t="n">
        <v>0.4651</v>
      </c>
      <c r="J12" s="45" t="n">
        <v>2.79</v>
      </c>
      <c r="K12" s="45" t="n">
        <v>15.7</v>
      </c>
      <c r="L12" s="40" t="n">
        <v>7.95</v>
      </c>
      <c r="M12" s="40" t="n">
        <v>1.1</v>
      </c>
      <c r="N12" s="41" t="n">
        <v>0.041</v>
      </c>
    </row>
    <row r="13">
      <c r="A13" s="35" t="n">
        <v>9</v>
      </c>
      <c r="B13" s="36" t="inlineStr">
        <is>
          <t>Drake London</t>
        </is>
      </c>
      <c r="C13" s="35" t="inlineStr">
        <is>
          <t>ATL</t>
        </is>
      </c>
      <c r="D13" s="35" t="inlineStr">
        <is>
          <t>TB</t>
        </is>
      </c>
      <c r="E13" s="37" t="n">
        <v>7700</v>
      </c>
      <c r="F13" s="38" t="n"/>
      <c r="G13" s="54" t="n">
        <v>115</v>
      </c>
      <c r="H13" s="38" t="n"/>
      <c r="I13" s="39" t="n">
        <v>0.4651</v>
      </c>
      <c r="J13" s="39" t="n">
        <v>2.79</v>
      </c>
      <c r="K13" s="39" t="n">
        <v>17</v>
      </c>
      <c r="L13" s="40" t="n">
        <v>8.470000000000001</v>
      </c>
      <c r="M13" s="40" t="n">
        <v>1.1</v>
      </c>
      <c r="N13" s="41" t="n">
        <v>0.0491</v>
      </c>
    </row>
    <row r="14">
      <c r="A14" s="42" t="n">
        <v>10</v>
      </c>
      <c r="B14" s="43" t="inlineStr">
        <is>
          <t>Ja'Marr Chase</t>
        </is>
      </c>
      <c r="C14" s="42" t="inlineStr">
        <is>
          <t>CIN</t>
        </is>
      </c>
      <c r="D14" s="42" t="inlineStr">
        <is>
          <t>TEN</t>
        </is>
      </c>
      <c r="E14" s="44" t="n">
        <v>8700</v>
      </c>
      <c r="F14" s="38" t="n"/>
      <c r="G14" s="54" t="n">
        <v>-110</v>
      </c>
      <c r="H14" s="38" t="n"/>
      <c r="I14" s="45" t="n">
        <v>0.5238</v>
      </c>
      <c r="J14" s="45" t="n">
        <v>3.14</v>
      </c>
      <c r="K14" s="45" t="n">
        <v>20.3</v>
      </c>
      <c r="L14" s="40" t="n">
        <v>10.01</v>
      </c>
      <c r="M14" s="40" t="n">
        <v>1.15</v>
      </c>
      <c r="N14" s="41" t="n">
        <v>0.08110000000000001</v>
      </c>
    </row>
    <row r="15">
      <c r="A15" s="35" t="n">
        <v>11</v>
      </c>
      <c r="B15" s="36" t="inlineStr">
        <is>
          <t>Tre Tucker</t>
        </is>
      </c>
      <c r="C15" s="35" t="inlineStr">
        <is>
          <t>LV</t>
        </is>
      </c>
      <c r="D15" s="35" t="inlineStr">
        <is>
          <t>NYJ</t>
        </is>
      </c>
      <c r="E15" s="37" t="n">
        <v>6100</v>
      </c>
      <c r="F15" s="38" t="n"/>
      <c r="G15" s="54" t="n">
        <v>200</v>
      </c>
      <c r="H15" s="38" t="n"/>
      <c r="I15" s="39" t="n">
        <v>0.3333</v>
      </c>
      <c r="J15" s="39" t="n">
        <v>2</v>
      </c>
      <c r="K15" s="39" t="n">
        <v>10.3</v>
      </c>
      <c r="L15" s="40" t="n">
        <v>5.32</v>
      </c>
      <c r="M15" s="40" t="n">
        <v>0.87</v>
      </c>
      <c r="N15" s="41" t="n">
        <v>0.0058</v>
      </c>
    </row>
    <row r="16">
      <c r="A16" s="42" t="n">
        <v>12</v>
      </c>
      <c r="B16" s="43" t="inlineStr">
        <is>
          <t>Jameson Williams</t>
        </is>
      </c>
      <c r="C16" s="42" t="inlineStr">
        <is>
          <t>DET</t>
        </is>
      </c>
      <c r="D16" s="42" t="inlineStr">
        <is>
          <t>MIN</t>
        </is>
      </c>
      <c r="E16" s="44" t="n">
        <v>6300</v>
      </c>
      <c r="F16" s="38" t="n">
        <v>50.5</v>
      </c>
      <c r="G16" s="54" t="n">
        <v>210</v>
      </c>
      <c r="H16" s="38" t="n">
        <v>3.5</v>
      </c>
      <c r="I16" s="45" t="n">
        <v>0.3226</v>
      </c>
      <c r="J16" s="45" t="n">
        <v>8.74</v>
      </c>
      <c r="K16" s="45" t="n">
        <v>10.5</v>
      </c>
      <c r="L16" s="40" t="n">
        <v>9.44</v>
      </c>
      <c r="M16" s="40" t="n">
        <v>1.5</v>
      </c>
      <c r="N16" s="41" t="n">
        <v>0.0985</v>
      </c>
    </row>
    <row r="17">
      <c r="A17" s="35" t="n">
        <v>13</v>
      </c>
      <c r="B17" s="36" t="inlineStr">
        <is>
          <t>Garrett Wilson</t>
        </is>
      </c>
      <c r="C17" s="35" t="inlineStr">
        <is>
          <t>NYJ</t>
        </is>
      </c>
      <c r="D17" s="35" t="inlineStr">
        <is>
          <t>LV</t>
        </is>
      </c>
      <c r="E17" s="37" t="n">
        <v>7000</v>
      </c>
      <c r="F17" s="38" t="n"/>
      <c r="G17" s="54" t="n">
        <v>140</v>
      </c>
      <c r="H17" s="38" t="n"/>
      <c r="I17" s="39" t="n">
        <v>0.4167</v>
      </c>
      <c r="J17" s="39" t="n">
        <v>2.5</v>
      </c>
      <c r="K17" s="39" t="n">
        <v>12.9</v>
      </c>
      <c r="L17" s="40" t="n">
        <v>6.66</v>
      </c>
      <c r="M17" s="40" t="n">
        <v>0.95</v>
      </c>
      <c r="N17" s="41" t="n">
        <v>0.0187</v>
      </c>
    </row>
    <row r="18">
      <c r="A18" s="35" t="n">
        <v>14</v>
      </c>
      <c r="B18" s="36" t="inlineStr">
        <is>
          <t>Justin Jefferson</t>
        </is>
      </c>
      <c r="C18" s="35" t="inlineStr">
        <is>
          <t>MIN</t>
        </is>
      </c>
      <c r="D18" s="35" t="inlineStr">
        <is>
          <t>DET</t>
        </is>
      </c>
      <c r="E18" s="37" t="n">
        <v>7900</v>
      </c>
      <c r="F18" s="38" t="n">
        <v>74.5</v>
      </c>
      <c r="G18" s="54" t="n">
        <v>180</v>
      </c>
      <c r="H18" s="38" t="n">
        <v>5.5</v>
      </c>
      <c r="I18" s="39" t="n">
        <v>0.3571</v>
      </c>
      <c r="J18" s="39" t="n">
        <v>12.34</v>
      </c>
      <c r="K18" s="39" t="n">
        <v>16.5</v>
      </c>
      <c r="L18" s="40" t="n">
        <v>14.01</v>
      </c>
      <c r="M18" s="40" t="n">
        <v>1.77</v>
      </c>
      <c r="N18" s="41" t="n">
        <v>0.3061</v>
      </c>
    </row>
    <row r="19">
      <c r="A19" s="42" t="n">
        <v>15</v>
      </c>
      <c r="B19" s="43" t="inlineStr">
        <is>
          <t>George Pickens</t>
        </is>
      </c>
      <c r="C19" s="42" t="inlineStr">
        <is>
          <t>DAL</t>
        </is>
      </c>
      <c r="D19" s="42" t="inlineStr">
        <is>
          <t>ARI</t>
        </is>
      </c>
      <c r="E19" s="44" t="n">
        <v>7800</v>
      </c>
      <c r="F19" s="38" t="n"/>
      <c r="G19" s="54" t="n">
        <v>130</v>
      </c>
      <c r="H19" s="38" t="n"/>
      <c r="I19" s="45" t="n">
        <v>0.4348</v>
      </c>
      <c r="J19" s="45" t="n">
        <v>2.61</v>
      </c>
      <c r="K19" s="45" t="n">
        <v>13</v>
      </c>
      <c r="L19" s="40" t="n">
        <v>6.77</v>
      </c>
      <c r="M19" s="40" t="n">
        <v>0.87</v>
      </c>
      <c r="N19" s="41" t="n">
        <v>0.0176</v>
      </c>
    </row>
    <row r="20">
      <c r="A20" s="35" t="n">
        <v>16</v>
      </c>
      <c r="B20" s="36" t="inlineStr">
        <is>
          <t>Tyquan Thornton</t>
        </is>
      </c>
      <c r="C20" s="35" t="inlineStr">
        <is>
          <t>KC</t>
        </is>
      </c>
      <c r="D20" s="35" t="inlineStr">
        <is>
          <t>DEN</t>
        </is>
      </c>
      <c r="E20" s="37" t="n">
        <v>4000</v>
      </c>
      <c r="F20" s="38" t="n"/>
      <c r="G20" s="54" t="n"/>
      <c r="H20" s="38" t="n"/>
      <c r="I20" s="39" t="n">
        <v>0.3922</v>
      </c>
      <c r="J20" s="39" t="n">
        <v>0</v>
      </c>
      <c r="K20" s="39" t="n">
        <v>0</v>
      </c>
      <c r="L20" s="40" t="n">
        <v>0</v>
      </c>
      <c r="M20" s="40" t="n">
        <v>0</v>
      </c>
      <c r="N20" s="41" t="n">
        <v>0.08</v>
      </c>
    </row>
    <row r="21">
      <c r="A21" s="42" t="n">
        <v>17</v>
      </c>
      <c r="B21" s="43" t="inlineStr">
        <is>
          <t>Rashee Rice</t>
        </is>
      </c>
      <c r="C21" s="42" t="inlineStr">
        <is>
          <t>KC</t>
        </is>
      </c>
      <c r="D21" s="42" t="inlineStr">
        <is>
          <t>DEN</t>
        </is>
      </c>
      <c r="E21" s="44" t="n">
        <v>6900</v>
      </c>
      <c r="F21" s="46" t="n"/>
      <c r="G21" s="54" t="n">
        <v>160</v>
      </c>
      <c r="H21" s="46" t="n"/>
      <c r="I21" s="45" t="n">
        <v>0.3846</v>
      </c>
      <c r="J21" s="45" t="n">
        <v>2.31</v>
      </c>
      <c r="K21" s="45" t="n">
        <v>11.4</v>
      </c>
      <c r="L21" s="40" t="n">
        <v>5.94</v>
      </c>
      <c r="M21" s="40" t="n">
        <v>0.86</v>
      </c>
      <c r="N21" s="41" t="n">
        <v>0.0102</v>
      </c>
    </row>
    <row r="22">
      <c r="A22" s="42" t="n">
        <v>18</v>
      </c>
      <c r="B22" s="43" t="inlineStr">
        <is>
          <t>Keon Coleman</t>
        </is>
      </c>
      <c r="C22" s="42" t="inlineStr">
        <is>
          <t>BUF</t>
        </is>
      </c>
      <c r="D22" s="42" t="inlineStr">
        <is>
          <t>BAL</t>
        </is>
      </c>
      <c r="E22" s="44" t="n">
        <v>5600</v>
      </c>
      <c r="F22" s="38" t="n"/>
      <c r="G22" s="54" t="n">
        <v>220</v>
      </c>
      <c r="H22" s="38" t="n"/>
      <c r="I22" s="45" t="n">
        <v>0.3125</v>
      </c>
      <c r="J22" s="45" t="n">
        <v>1.88</v>
      </c>
      <c r="K22" s="45" t="n">
        <v>6.3</v>
      </c>
      <c r="L22" s="40" t="n">
        <v>3.65</v>
      </c>
      <c r="M22" s="40" t="n">
        <v>0.65</v>
      </c>
      <c r="N22" s="41" t="n">
        <v>0</v>
      </c>
    </row>
    <row r="23">
      <c r="A23" s="35" t="n">
        <v>19</v>
      </c>
      <c r="B23" s="36" t="inlineStr">
        <is>
          <t>Denzel Boston</t>
        </is>
      </c>
      <c r="C23" s="35" t="inlineStr">
        <is>
          <t>CLE</t>
        </is>
      </c>
      <c r="D23" s="35" t="inlineStr">
        <is>
          <t>PIT</t>
        </is>
      </c>
      <c r="E23" s="37" t="n">
        <v>5600</v>
      </c>
      <c r="F23" s="38" t="n"/>
      <c r="G23" s="54" t="n">
        <v>250</v>
      </c>
      <c r="H23" s="38" t="n"/>
      <c r="I23" s="39" t="n">
        <v>0.2857</v>
      </c>
      <c r="J23" s="39" t="n">
        <v>1.71</v>
      </c>
      <c r="K23" s="39" t="n">
        <v>10.9</v>
      </c>
      <c r="L23" s="40" t="n">
        <v>5.39</v>
      </c>
      <c r="M23" s="40" t="n">
        <v>0.96</v>
      </c>
      <c r="N23" s="41" t="n">
        <v>0.0072</v>
      </c>
    </row>
    <row r="24">
      <c r="A24" s="35" t="n">
        <v>20</v>
      </c>
      <c r="B24" s="36" t="inlineStr">
        <is>
          <t>Emeka Egbuka</t>
        </is>
      </c>
      <c r="C24" s="35" t="inlineStr">
        <is>
          <t>TB</t>
        </is>
      </c>
      <c r="D24" s="35" t="inlineStr">
        <is>
          <t>ATL</t>
        </is>
      </c>
      <c r="E24" s="37" t="n">
        <v>6000</v>
      </c>
      <c r="F24" s="38" t="n"/>
      <c r="G24" s="54" t="n">
        <v>140</v>
      </c>
      <c r="H24" s="38" t="n"/>
      <c r="I24" s="39" t="n">
        <v>0.4167</v>
      </c>
      <c r="J24" s="39" t="n">
        <v>2.5</v>
      </c>
      <c r="K24" s="39" t="n">
        <v>12.3</v>
      </c>
      <c r="L24" s="40" t="n">
        <v>6.42</v>
      </c>
      <c r="M24" s="40" t="n">
        <v>1.07</v>
      </c>
      <c r="N24" s="41" t="n">
        <v>0.0189</v>
      </c>
    </row>
    <row r="25">
      <c r="A25" s="35" t="n">
        <v>21</v>
      </c>
      <c r="B25" s="36" t="inlineStr">
        <is>
          <t>DK Metcalf</t>
        </is>
      </c>
      <c r="C25" s="35" t="inlineStr">
        <is>
          <t>PIT</t>
        </is>
      </c>
      <c r="D25" s="35" t="inlineStr">
        <is>
          <t>CLE</t>
        </is>
      </c>
      <c r="E25" s="37" t="n">
        <v>6600</v>
      </c>
      <c r="F25" s="38" t="n"/>
      <c r="G25" s="54" t="n">
        <v>150</v>
      </c>
      <c r="H25" s="38" t="n"/>
      <c r="I25" s="39" t="n">
        <v>0.4</v>
      </c>
      <c r="J25" s="39" t="n">
        <v>2.4</v>
      </c>
      <c r="K25" s="39" t="n">
        <v>11.6</v>
      </c>
      <c r="L25" s="40" t="n">
        <v>6.08</v>
      </c>
      <c r="M25" s="40" t="n">
        <v>0.92</v>
      </c>
      <c r="N25" s="41" t="n">
        <v>0.0124</v>
      </c>
    </row>
    <row r="26">
      <c r="A26" s="42" t="n">
        <v>22</v>
      </c>
      <c r="B26" s="43" t="inlineStr">
        <is>
          <t>Michael Wilson</t>
        </is>
      </c>
      <c r="C26" s="42" t="inlineStr">
        <is>
          <t>ARI</t>
        </is>
      </c>
      <c r="D26" s="42" t="inlineStr">
        <is>
          <t>DAL</t>
        </is>
      </c>
      <c r="E26" s="44" t="n">
        <v>6200</v>
      </c>
      <c r="F26" s="38" t="n"/>
      <c r="G26" s="54" t="n">
        <v>150</v>
      </c>
      <c r="H26" s="38" t="n"/>
      <c r="I26" s="45" t="n">
        <v>0.4</v>
      </c>
      <c r="J26" s="45" t="n">
        <v>2.4</v>
      </c>
      <c r="K26" s="45" t="n">
        <v>11.8</v>
      </c>
      <c r="L26" s="40" t="n">
        <v>6.16</v>
      </c>
      <c r="M26" s="40" t="n">
        <v>0.99</v>
      </c>
      <c r="N26" s="41" t="n">
        <v>0.0144</v>
      </c>
    </row>
    <row r="27">
      <c r="A27" s="42" t="n">
        <v>23</v>
      </c>
      <c r="B27" s="43" t="inlineStr">
        <is>
          <t>Carnell Tate</t>
        </is>
      </c>
      <c r="C27" s="42" t="inlineStr">
        <is>
          <t>TEN</t>
        </is>
      </c>
      <c r="D27" s="42" t="inlineStr">
        <is>
          <t>CIN</t>
        </is>
      </c>
      <c r="E27" s="44" t="n">
        <v>5900</v>
      </c>
      <c r="F27" s="46" t="n"/>
      <c r="G27" s="54" t="n">
        <v>240</v>
      </c>
      <c r="H27" s="46" t="n"/>
      <c r="I27" s="45" t="n">
        <v>0.2941</v>
      </c>
      <c r="J27" s="45" t="n">
        <v>1.76</v>
      </c>
      <c r="K27" s="45" t="n">
        <v>10.7</v>
      </c>
      <c r="L27" s="40" t="n">
        <v>5.34</v>
      </c>
      <c r="M27" s="40" t="n">
        <v>0.9</v>
      </c>
      <c r="N27" s="41" t="n">
        <v>0.0063</v>
      </c>
    </row>
    <row r="28">
      <c r="A28" s="42" t="n">
        <v>24</v>
      </c>
      <c r="B28" s="43" t="inlineStr">
        <is>
          <t>Caleb Douglas</t>
        </is>
      </c>
      <c r="C28" s="42" t="inlineStr">
        <is>
          <t>MIA</t>
        </is>
      </c>
      <c r="D28" s="42" t="inlineStr">
        <is>
          <t>NE</t>
        </is>
      </c>
      <c r="E28" s="44" t="n">
        <v>5300</v>
      </c>
      <c r="F28" s="38" t="n"/>
      <c r="G28" s="54" t="n">
        <v>200</v>
      </c>
      <c r="H28" s="38" t="n"/>
      <c r="I28" s="45" t="n">
        <v>0.3333</v>
      </c>
      <c r="J28" s="45" t="n">
        <v>2</v>
      </c>
      <c r="K28" s="45" t="n">
        <v>8.6</v>
      </c>
      <c r="L28" s="40" t="n">
        <v>4.64</v>
      </c>
      <c r="M28" s="40" t="n">
        <v>0.88</v>
      </c>
      <c r="N28" s="41" t="n">
        <v>0.002</v>
      </c>
    </row>
    <row r="29">
      <c r="A29" s="35" t="n">
        <v>25</v>
      </c>
      <c r="B29" s="36" t="inlineStr">
        <is>
          <t>Romeo Doubs</t>
        </is>
      </c>
      <c r="C29" s="35" t="inlineStr">
        <is>
          <t>NE</t>
        </is>
      </c>
      <c r="D29" s="35" t="inlineStr">
        <is>
          <t>MIA</t>
        </is>
      </c>
      <c r="E29" s="37" t="n">
        <v>5700</v>
      </c>
      <c r="F29" s="38" t="n"/>
      <c r="G29" s="54" t="n"/>
      <c r="H29" s="38" t="n"/>
      <c r="I29" s="39" t="n">
        <v>0.2857</v>
      </c>
      <c r="J29" s="39" t="n">
        <v>0</v>
      </c>
      <c r="K29" s="39" t="n">
        <v>0</v>
      </c>
      <c r="L29" s="40" t="n">
        <v>0</v>
      </c>
      <c r="M29" s="40" t="n">
        <v>0</v>
      </c>
      <c r="N29" s="41" t="n">
        <v>0.08</v>
      </c>
    </row>
    <row r="30">
      <c r="A30" s="42" t="n">
        <v>26</v>
      </c>
      <c r="B30" s="43" t="inlineStr">
        <is>
          <t>Jakobi Meyers</t>
        </is>
      </c>
      <c r="C30" s="42" t="inlineStr">
        <is>
          <t>JAC</t>
        </is>
      </c>
      <c r="D30" s="42" t="inlineStr">
        <is>
          <t>IND</t>
        </is>
      </c>
      <c r="E30" s="44" t="n">
        <v>5900</v>
      </c>
      <c r="F30" s="46" t="n"/>
      <c r="G30" s="54" t="n">
        <v>150</v>
      </c>
      <c r="H30" s="46" t="n"/>
      <c r="I30" s="45" t="n">
        <v>0.4</v>
      </c>
      <c r="J30" s="45" t="n">
        <v>2.4</v>
      </c>
      <c r="K30" s="45" t="n">
        <v>10.2</v>
      </c>
      <c r="L30" s="40" t="n">
        <v>5.52</v>
      </c>
      <c r="M30" s="40" t="n">
        <v>0.9399999999999999</v>
      </c>
      <c r="N30" s="41" t="n">
        <v>0.007900000000000001</v>
      </c>
    </row>
    <row r="31">
      <c r="A31" s="35" t="n">
        <v>27</v>
      </c>
      <c r="B31" s="36" t="inlineStr">
        <is>
          <t>DJ Moore</t>
        </is>
      </c>
      <c r="C31" s="35" t="inlineStr">
        <is>
          <t>BUF</t>
        </is>
      </c>
      <c r="D31" s="35" t="inlineStr">
        <is>
          <t>BAL</t>
        </is>
      </c>
      <c r="E31" s="37" t="n">
        <v>6700</v>
      </c>
      <c r="F31" s="38" t="n"/>
      <c r="G31" s="54" t="n">
        <v>155</v>
      </c>
      <c r="H31" s="38" t="n"/>
      <c r="I31" s="39" t="n">
        <v>0.3922</v>
      </c>
      <c r="J31" s="39" t="n">
        <v>2.35</v>
      </c>
      <c r="K31" s="39" t="n">
        <v>13</v>
      </c>
      <c r="L31" s="40" t="n">
        <v>6.61</v>
      </c>
      <c r="M31" s="40" t="n">
        <v>0.99</v>
      </c>
      <c r="N31" s="41" t="n">
        <v>0.019</v>
      </c>
    </row>
    <row r="32">
      <c r="A32" s="42" t="n">
        <v>28</v>
      </c>
      <c r="B32" s="43" t="inlineStr">
        <is>
          <t>Keenan Allen</t>
        </is>
      </c>
      <c r="C32" s="42" t="inlineStr">
        <is>
          <t>IND</t>
        </is>
      </c>
      <c r="D32" s="42" t="inlineStr">
        <is>
          <t>JAC</t>
        </is>
      </c>
      <c r="E32" s="44" t="n">
        <v>5800</v>
      </c>
      <c r="F32" s="38" t="n"/>
      <c r="G32" s="54" t="n">
        <v>290</v>
      </c>
      <c r="H32" s="38" t="n"/>
      <c r="I32" s="45" t="n">
        <v>0.2564</v>
      </c>
      <c r="J32" s="45" t="n">
        <v>1.54</v>
      </c>
      <c r="K32" s="45" t="n">
        <v>8.1</v>
      </c>
      <c r="L32" s="40" t="n">
        <v>4.16</v>
      </c>
      <c r="M32" s="40" t="n">
        <v>0.72</v>
      </c>
      <c r="N32" s="41" t="n">
        <v>0.0002</v>
      </c>
    </row>
    <row r="33">
      <c r="A33" s="35" t="n">
        <v>29</v>
      </c>
      <c r="B33" s="36" t="inlineStr">
        <is>
          <t>Jaylen Waddle</t>
        </is>
      </c>
      <c r="C33" s="35" t="inlineStr">
        <is>
          <t>DEN</t>
        </is>
      </c>
      <c r="D33" s="35" t="inlineStr">
        <is>
          <t>KC</t>
        </is>
      </c>
      <c r="E33" s="37" t="n">
        <v>6400</v>
      </c>
      <c r="F33" s="38" t="n"/>
      <c r="G33" s="54" t="n">
        <v>210</v>
      </c>
      <c r="H33" s="38" t="n"/>
      <c r="I33" s="39" t="n">
        <v>0.3226</v>
      </c>
      <c r="J33" s="39" t="n">
        <v>1.94</v>
      </c>
      <c r="K33" s="39" t="n">
        <v>9.699999999999999</v>
      </c>
      <c r="L33" s="40" t="n">
        <v>5.04</v>
      </c>
      <c r="M33" s="40" t="n">
        <v>0.79</v>
      </c>
      <c r="N33" s="41" t="n">
        <v>0.0036</v>
      </c>
    </row>
    <row r="34">
      <c r="A34" s="42" t="n">
        <v>30</v>
      </c>
      <c r="B34" s="43" t="inlineStr">
        <is>
          <t>DeMario Douglas</t>
        </is>
      </c>
      <c r="C34" s="42" t="inlineStr">
        <is>
          <t>NE</t>
        </is>
      </c>
      <c r="D34" s="42" t="inlineStr">
        <is>
          <t>MIA</t>
        </is>
      </c>
      <c r="E34" s="44" t="n">
        <v>5100</v>
      </c>
      <c r="F34" s="46" t="n"/>
      <c r="G34" s="54" t="n">
        <v>240</v>
      </c>
      <c r="H34" s="46" t="n"/>
      <c r="I34" s="45" t="n">
        <v>0.2941</v>
      </c>
      <c r="J34" s="45" t="n">
        <v>1.76</v>
      </c>
      <c r="K34" s="45" t="n">
        <v>9.9</v>
      </c>
      <c r="L34" s="40" t="n">
        <v>5.02</v>
      </c>
      <c r="M34" s="40" t="n">
        <v>0.98</v>
      </c>
      <c r="N34" s="41" t="n">
        <v>0.0046</v>
      </c>
    </row>
    <row r="35">
      <c r="A35" s="35" t="n">
        <v>31</v>
      </c>
      <c r="B35" s="36" t="inlineStr">
        <is>
          <t>Roman Wilson</t>
        </is>
      </c>
      <c r="C35" s="35" t="inlineStr">
        <is>
          <t>PIT</t>
        </is>
      </c>
      <c r="D35" s="35" t="inlineStr">
        <is>
          <t>CLE</t>
        </is>
      </c>
      <c r="E35" s="37" t="n">
        <v>4000</v>
      </c>
      <c r="F35" s="38" t="n"/>
      <c r="G35" s="54" t="n"/>
      <c r="H35" s="38" t="n"/>
      <c r="I35" s="39" t="n">
        <v>0.2041</v>
      </c>
      <c r="J35" s="39" t="n">
        <v>0</v>
      </c>
      <c r="K35" s="39" t="n">
        <v>0</v>
      </c>
      <c r="L35" s="40" t="n">
        <v>0</v>
      </c>
      <c r="M35" s="40" t="n">
        <v>0</v>
      </c>
      <c r="N35" s="41" t="n">
        <v>0.08</v>
      </c>
    </row>
    <row r="36">
      <c r="A36" s="35" t="n">
        <v>32</v>
      </c>
      <c r="B36" s="36" t="inlineStr">
        <is>
          <t>Germie Bernard</t>
        </is>
      </c>
      <c r="C36" s="35" t="inlineStr">
        <is>
          <t>PIT</t>
        </is>
      </c>
      <c r="D36" s="35" t="inlineStr">
        <is>
          <t>CLE</t>
        </is>
      </c>
      <c r="E36" s="37" t="n">
        <v>5000</v>
      </c>
      <c r="F36" s="38" t="n"/>
      <c r="G36" s="54" t="n">
        <v>220</v>
      </c>
      <c r="H36" s="38" t="n"/>
      <c r="I36" s="39" t="n">
        <v>0.3125</v>
      </c>
      <c r="J36" s="39" t="n">
        <v>1.88</v>
      </c>
      <c r="K36" s="39" t="n">
        <v>9.699999999999999</v>
      </c>
      <c r="L36" s="40" t="n">
        <v>5</v>
      </c>
      <c r="M36" s="40" t="n">
        <v>1</v>
      </c>
      <c r="N36" s="41" t="n">
        <v>0.0046</v>
      </c>
    </row>
    <row r="37">
      <c r="A37" s="35" t="n">
        <v>33</v>
      </c>
      <c r="B37" s="36" t="inlineStr">
        <is>
          <t>Khalil Shakir</t>
        </is>
      </c>
      <c r="C37" s="35" t="inlineStr">
        <is>
          <t>BUF</t>
        </is>
      </c>
      <c r="D37" s="35" t="inlineStr">
        <is>
          <t>BAL</t>
        </is>
      </c>
      <c r="E37" s="37" t="n">
        <v>5700</v>
      </c>
      <c r="F37" s="38" t="n"/>
      <c r="G37" s="54" t="n">
        <v>200</v>
      </c>
      <c r="H37" s="38" t="n"/>
      <c r="I37" s="39" t="n">
        <v>0.3333</v>
      </c>
      <c r="J37" s="39" t="n">
        <v>2</v>
      </c>
      <c r="K37" s="39" t="n">
        <v>8.6</v>
      </c>
      <c r="L37" s="40" t="n">
        <v>4.64</v>
      </c>
      <c r="M37" s="40" t="n">
        <v>0.8100000000000001</v>
      </c>
      <c r="N37" s="41" t="n">
        <v>0.0018</v>
      </c>
    </row>
    <row r="38">
      <c r="A38" s="42" t="n">
        <v>34</v>
      </c>
      <c r="B38" s="43" t="inlineStr">
        <is>
          <t>Malik Washington</t>
        </is>
      </c>
      <c r="C38" s="42" t="inlineStr">
        <is>
          <t>MIA</t>
        </is>
      </c>
      <c r="D38" s="42" t="inlineStr">
        <is>
          <t>NE</t>
        </is>
      </c>
      <c r="E38" s="44" t="n">
        <v>5500</v>
      </c>
      <c r="F38" s="46" t="n"/>
      <c r="G38" s="54" t="n">
        <v>300</v>
      </c>
      <c r="H38" s="46" t="n"/>
      <c r="I38" s="45" t="n">
        <v>0.25</v>
      </c>
      <c r="J38" s="45" t="n">
        <v>1.5</v>
      </c>
      <c r="K38" s="45" t="n">
        <v>9.800000000000001</v>
      </c>
      <c r="L38" s="40" t="n">
        <v>4.82</v>
      </c>
      <c r="M38" s="40" t="n">
        <v>0.88</v>
      </c>
      <c r="N38" s="41" t="n">
        <v>0.0029</v>
      </c>
    </row>
    <row r="39">
      <c r="A39" s="42" t="n">
        <v>35</v>
      </c>
      <c r="B39" s="43" t="inlineStr">
        <is>
          <t>KC Concepcion Jr.</t>
        </is>
      </c>
      <c r="C39" s="42" t="inlineStr">
        <is>
          <t>CLE</t>
        </is>
      </c>
      <c r="D39" s="42" t="inlineStr">
        <is>
          <t>PIT</t>
        </is>
      </c>
      <c r="E39" s="44" t="n">
        <v>5800</v>
      </c>
      <c r="F39" s="38" t="n"/>
      <c r="G39" s="54" t="n">
        <v>235</v>
      </c>
      <c r="H39" s="38" t="n"/>
      <c r="I39" s="45" t="n">
        <v>0.2985</v>
      </c>
      <c r="J39" s="45" t="n">
        <v>1.79</v>
      </c>
      <c r="K39" s="45" t="n">
        <v>9.300000000000001</v>
      </c>
      <c r="L39" s="40" t="n">
        <v>4.79</v>
      </c>
      <c r="M39" s="40" t="n">
        <v>0.83</v>
      </c>
      <c r="N39" s="41" t="n">
        <v>0.0025</v>
      </c>
    </row>
    <row r="40">
      <c r="A40" s="42" t="n">
        <v>36</v>
      </c>
      <c r="B40" s="43" t="inlineStr">
        <is>
          <t>Ryan Flournoy</t>
        </is>
      </c>
      <c r="C40" s="42" t="inlineStr">
        <is>
          <t>DAL</t>
        </is>
      </c>
      <c r="D40" s="42" t="inlineStr">
        <is>
          <t>ARI</t>
        </is>
      </c>
      <c r="E40" s="44" t="n">
        <v>5200</v>
      </c>
      <c r="F40" s="38" t="n"/>
      <c r="G40" s="54" t="n">
        <v>250</v>
      </c>
      <c r="H40" s="38" t="n"/>
      <c r="I40" s="45" t="n">
        <v>0.2857</v>
      </c>
      <c r="J40" s="45" t="n">
        <v>1.71</v>
      </c>
      <c r="K40" s="45" t="n">
        <v>8.4</v>
      </c>
      <c r="L40" s="40" t="n">
        <v>4.39</v>
      </c>
      <c r="M40" s="40" t="n">
        <v>0.84</v>
      </c>
      <c r="N40" s="41" t="n">
        <v>0.0009</v>
      </c>
    </row>
    <row r="41">
      <c r="A41" s="35" t="n">
        <v>37</v>
      </c>
      <c r="B41" s="36" t="inlineStr">
        <is>
          <t>Mack Hollins</t>
        </is>
      </c>
      <c r="C41" s="35" t="inlineStr">
        <is>
          <t>NE</t>
        </is>
      </c>
      <c r="D41" s="35" t="inlineStr">
        <is>
          <t>MIA</t>
        </is>
      </c>
      <c r="E41" s="37" t="n">
        <v>5600</v>
      </c>
      <c r="F41" s="38" t="n"/>
      <c r="G41" s="54" t="n"/>
      <c r="H41" s="38" t="n"/>
      <c r="I41" s="39" t="n">
        <v>0.1538</v>
      </c>
      <c r="J41" s="39" t="n">
        <v>0</v>
      </c>
      <c r="K41" s="39" t="n">
        <v>0</v>
      </c>
      <c r="L41" s="40" t="n">
        <v>0</v>
      </c>
      <c r="M41" s="40" t="n">
        <v>0</v>
      </c>
      <c r="N41" s="41" t="n">
        <v>0.08</v>
      </c>
    </row>
    <row r="42">
      <c r="A42" s="35" t="n">
        <v>38</v>
      </c>
      <c r="B42" s="36" t="inlineStr">
        <is>
          <t>Pat Bryant</t>
        </is>
      </c>
      <c r="C42" s="35" t="inlineStr">
        <is>
          <t>DEN</t>
        </is>
      </c>
      <c r="D42" s="35" t="inlineStr">
        <is>
          <t>KC</t>
        </is>
      </c>
      <c r="E42" s="37" t="n">
        <v>4000</v>
      </c>
      <c r="F42" s="38" t="n"/>
      <c r="G42" s="54" t="n"/>
      <c r="H42" s="38" t="n"/>
      <c r="I42" s="39" t="n">
        <v>0.3448</v>
      </c>
      <c r="J42" s="39" t="n">
        <v>0</v>
      </c>
      <c r="K42" s="39" t="n">
        <v>0</v>
      </c>
      <c r="L42" s="40" t="n">
        <v>0</v>
      </c>
      <c r="M42" s="40" t="n">
        <v>0</v>
      </c>
      <c r="N42" s="41" t="n">
        <v>0.08</v>
      </c>
    </row>
    <row r="43">
      <c r="A43" s="42" t="n">
        <v>39</v>
      </c>
      <c r="B43" s="43" t="inlineStr">
        <is>
          <t>Wan'Dale Robinson</t>
        </is>
      </c>
      <c r="C43" s="42" t="inlineStr">
        <is>
          <t>TEN</t>
        </is>
      </c>
      <c r="D43" s="42" t="inlineStr">
        <is>
          <t>CIN</t>
        </is>
      </c>
      <c r="E43" s="44" t="n">
        <v>5100</v>
      </c>
      <c r="F43" s="46" t="n"/>
      <c r="G43" s="54" t="n">
        <v>350</v>
      </c>
      <c r="H43" s="46" t="n"/>
      <c r="I43" s="45" t="n">
        <v>0.2222</v>
      </c>
      <c r="J43" s="45" t="n">
        <v>1.33</v>
      </c>
      <c r="K43" s="45" t="n">
        <v>7.8</v>
      </c>
      <c r="L43" s="40" t="n">
        <v>3.92</v>
      </c>
      <c r="M43" s="40" t="n">
        <v>0.77</v>
      </c>
      <c r="N43" s="41" t="n">
        <v>0</v>
      </c>
    </row>
    <row r="44">
      <c r="A44" s="42" t="n">
        <v>40</v>
      </c>
      <c r="B44" s="43" t="inlineStr">
        <is>
          <t>Xavier Worthy</t>
        </is>
      </c>
      <c r="C44" s="42" t="inlineStr">
        <is>
          <t>KC</t>
        </is>
      </c>
      <c r="D44" s="42" t="inlineStr">
        <is>
          <t>DEN</t>
        </is>
      </c>
      <c r="E44" s="44" t="n">
        <v>6100</v>
      </c>
      <c r="F44" s="46" t="n"/>
      <c r="G44" s="54" t="n">
        <v>180</v>
      </c>
      <c r="H44" s="46" t="n"/>
      <c r="I44" s="45" t="n">
        <v>0.3571</v>
      </c>
      <c r="J44" s="45" t="n">
        <v>2.14</v>
      </c>
      <c r="K44" s="45" t="n">
        <v>7.4</v>
      </c>
      <c r="L44" s="40" t="n">
        <v>4.25</v>
      </c>
      <c r="M44" s="40" t="n">
        <v>0.7</v>
      </c>
      <c r="N44" s="41" t="n">
        <v>0.0004</v>
      </c>
    </row>
    <row r="45">
      <c r="A45" s="42" t="n">
        <v>41</v>
      </c>
      <c r="B45" s="43" t="inlineStr">
        <is>
          <t>Ladd McConkey</t>
        </is>
      </c>
      <c r="C45" s="42" t="inlineStr">
        <is>
          <t>LAC</t>
        </is>
      </c>
      <c r="D45" s="42" t="inlineStr">
        <is>
          <t>LAR</t>
        </is>
      </c>
      <c r="E45" s="44" t="n">
        <v>6000</v>
      </c>
      <c r="F45" s="38" t="n"/>
      <c r="G45" s="54" t="n">
        <v>245</v>
      </c>
      <c r="H45" s="38" t="n"/>
      <c r="I45" s="45" t="n">
        <v>0.2899</v>
      </c>
      <c r="J45" s="45" t="n">
        <v>1.74</v>
      </c>
      <c r="K45" s="45" t="n">
        <v>9.4</v>
      </c>
      <c r="L45" s="40" t="n">
        <v>4.8</v>
      </c>
      <c r="M45" s="40" t="n">
        <v>0.8</v>
      </c>
      <c r="N45" s="41" t="n">
        <v>0.0025</v>
      </c>
    </row>
    <row r="46">
      <c r="A46" s="42" t="n">
        <v>42</v>
      </c>
      <c r="B46" s="43" t="inlineStr">
        <is>
          <t>Josh Downs</t>
        </is>
      </c>
      <c r="C46" s="42" t="inlineStr">
        <is>
          <t>IND</t>
        </is>
      </c>
      <c r="D46" s="42" t="inlineStr">
        <is>
          <t>JAC</t>
        </is>
      </c>
      <c r="E46" s="44" t="n">
        <v>5800</v>
      </c>
      <c r="F46" s="38" t="n"/>
      <c r="G46" s="54" t="n">
        <v>290</v>
      </c>
      <c r="H46" s="38" t="n"/>
      <c r="I46" s="45" t="n">
        <v>0.2564</v>
      </c>
      <c r="J46" s="45" t="n">
        <v>1.54</v>
      </c>
      <c r="K46" s="45" t="n">
        <v>7.6</v>
      </c>
      <c r="L46" s="40" t="n">
        <v>3.96</v>
      </c>
      <c r="M46" s="40" t="n">
        <v>0.68</v>
      </c>
      <c r="N46" s="41" t="n">
        <v>0</v>
      </c>
    </row>
    <row r="47">
      <c r="A47" s="42" t="n">
        <v>43</v>
      </c>
      <c r="B47" s="43" t="inlineStr">
        <is>
          <t>Jordan Addison</t>
        </is>
      </c>
      <c r="C47" s="42" t="inlineStr">
        <is>
          <t>MIN</t>
        </is>
      </c>
      <c r="D47" s="42" t="inlineStr">
        <is>
          <t>DET</t>
        </is>
      </c>
      <c r="E47" s="44" t="n">
        <v>5600</v>
      </c>
      <c r="F47" s="38" t="n">
        <v>38.5</v>
      </c>
      <c r="G47" s="54" t="n">
        <v>310</v>
      </c>
      <c r="H47" s="38" t="n">
        <v>3.5</v>
      </c>
      <c r="I47" s="45" t="n">
        <v>0.2439</v>
      </c>
      <c r="J47" s="45" t="n">
        <v>7.06</v>
      </c>
      <c r="K47" s="45" t="n">
        <v>9.199999999999999</v>
      </c>
      <c r="L47" s="40" t="n">
        <v>7.92</v>
      </c>
      <c r="M47" s="40" t="n">
        <v>1.41</v>
      </c>
      <c r="N47" s="41" t="n">
        <v>0.0559</v>
      </c>
    </row>
    <row r="48">
      <c r="A48" s="35" t="n">
        <v>44</v>
      </c>
      <c r="B48" s="36" t="inlineStr">
        <is>
          <t>Jahan Dotson</t>
        </is>
      </c>
      <c r="C48" s="35" t="inlineStr">
        <is>
          <t>ATL</t>
        </is>
      </c>
      <c r="D48" s="35" t="inlineStr">
        <is>
          <t>TB</t>
        </is>
      </c>
      <c r="E48" s="37" t="n">
        <v>5500</v>
      </c>
      <c r="F48" s="38" t="n"/>
      <c r="G48" s="54" t="n">
        <v>400</v>
      </c>
      <c r="H48" s="38" t="n"/>
      <c r="I48" s="39" t="n">
        <v>0.2</v>
      </c>
      <c r="J48" s="39" t="n">
        <v>1.2</v>
      </c>
      <c r="K48" s="39" t="n">
        <v>7</v>
      </c>
      <c r="L48" s="40" t="n">
        <v>3.52</v>
      </c>
      <c r="M48" s="40" t="n">
        <v>0.64</v>
      </c>
      <c r="N48" s="41" t="n">
        <v>0</v>
      </c>
    </row>
    <row r="49">
      <c r="A49" s="35" t="n">
        <v>45</v>
      </c>
      <c r="B49" s="36" t="inlineStr">
        <is>
          <t>Tre' Harris</t>
        </is>
      </c>
      <c r="C49" s="35" t="inlineStr">
        <is>
          <t>LAC</t>
        </is>
      </c>
      <c r="D49" s="35" t="inlineStr">
        <is>
          <t>LAR</t>
        </is>
      </c>
      <c r="E49" s="37" t="n">
        <v>5500</v>
      </c>
      <c r="F49" s="46" t="n"/>
      <c r="G49" s="54" t="n">
        <v>230</v>
      </c>
      <c r="H49" s="46" t="n"/>
      <c r="I49" s="39" t="n">
        <v>0.303</v>
      </c>
      <c r="J49" s="39" t="n">
        <v>1.82</v>
      </c>
      <c r="K49" s="39" t="n">
        <v>5.3</v>
      </c>
      <c r="L49" s="40" t="n">
        <v>3.21</v>
      </c>
      <c r="M49" s="40" t="n">
        <v>0.58</v>
      </c>
      <c r="N49" s="41" t="n">
        <v>0</v>
      </c>
    </row>
    <row r="50">
      <c r="A50" s="35" t="n">
        <v>46</v>
      </c>
      <c r="B50" s="36" t="inlineStr">
        <is>
          <t>Kendrick Bourne</t>
        </is>
      </c>
      <c r="C50" s="35" t="inlineStr">
        <is>
          <t>ARI</t>
        </is>
      </c>
      <c r="D50" s="35" t="inlineStr">
        <is>
          <t>DAL</t>
        </is>
      </c>
      <c r="E50" s="37" t="n">
        <v>5400</v>
      </c>
      <c r="F50" s="38" t="n"/>
      <c r="G50" s="54" t="n">
        <v>250</v>
      </c>
      <c r="H50" s="38" t="n"/>
      <c r="I50" s="39" t="n">
        <v>0.2857</v>
      </c>
      <c r="J50" s="39" t="n">
        <v>1.71</v>
      </c>
      <c r="K50" s="39" t="n">
        <v>7.3</v>
      </c>
      <c r="L50" s="40" t="n">
        <v>3.95</v>
      </c>
      <c r="M50" s="40" t="n">
        <v>0.73</v>
      </c>
      <c r="N50" s="41" t="n">
        <v>0</v>
      </c>
    </row>
    <row r="51">
      <c r="A51" s="35" t="n">
        <v>47</v>
      </c>
      <c r="B51" s="36" t="inlineStr">
        <is>
          <t>Rashod Bateman</t>
        </is>
      </c>
      <c r="C51" s="35" t="inlineStr">
        <is>
          <t>BAL</t>
        </is>
      </c>
      <c r="D51" s="35" t="inlineStr">
        <is>
          <t>BUF</t>
        </is>
      </c>
      <c r="E51" s="37" t="n">
        <v>5500</v>
      </c>
      <c r="F51" s="38" t="n"/>
      <c r="G51" s="54" t="n">
        <v>400</v>
      </c>
      <c r="H51" s="38" t="n"/>
      <c r="I51" s="39" t="n">
        <v>0.2</v>
      </c>
      <c r="J51" s="39" t="n">
        <v>1.2</v>
      </c>
      <c r="K51" s="39" t="n">
        <v>6.1</v>
      </c>
      <c r="L51" s="40" t="n">
        <v>3.16</v>
      </c>
      <c r="M51" s="40" t="n">
        <v>0.57</v>
      </c>
      <c r="N51" s="41" t="n">
        <v>0</v>
      </c>
    </row>
    <row r="52">
      <c r="A52" s="42" t="n">
        <v>48</v>
      </c>
      <c r="B52" s="43" t="inlineStr">
        <is>
          <t>Chris Godwin Jr.</t>
        </is>
      </c>
      <c r="C52" s="42" t="inlineStr">
        <is>
          <t>TB</t>
        </is>
      </c>
      <c r="D52" s="42" t="inlineStr">
        <is>
          <t>ATL</t>
        </is>
      </c>
      <c r="E52" s="44" t="n">
        <v>5400</v>
      </c>
      <c r="F52" s="38" t="n"/>
      <c r="G52" s="54" t="n">
        <v>190</v>
      </c>
      <c r="H52" s="38" t="n"/>
      <c r="I52" s="45" t="n">
        <v>0.3448</v>
      </c>
      <c r="J52" s="45" t="n">
        <v>2.07</v>
      </c>
      <c r="K52" s="45" t="n">
        <v>8.199999999999999</v>
      </c>
      <c r="L52" s="40" t="n">
        <v>4.52</v>
      </c>
      <c r="M52" s="40" t="n">
        <v>0.84</v>
      </c>
      <c r="N52" s="41" t="n">
        <v>0.0014</v>
      </c>
    </row>
    <row r="53">
      <c r="A53" s="35" t="n">
        <v>49</v>
      </c>
      <c r="B53" s="36" t="inlineStr">
        <is>
          <t>Joshua Palmer</t>
        </is>
      </c>
      <c r="C53" s="35" t="inlineStr">
        <is>
          <t>BUF</t>
        </is>
      </c>
      <c r="D53" s="35" t="inlineStr">
        <is>
          <t>BAL</t>
        </is>
      </c>
      <c r="E53" s="37" t="n">
        <v>4800</v>
      </c>
      <c r="F53" s="46" t="n"/>
      <c r="G53" s="54" t="n">
        <v>240</v>
      </c>
      <c r="H53" s="46" t="n"/>
      <c r="I53" s="39" t="n">
        <v>0.2941</v>
      </c>
      <c r="J53" s="39" t="n">
        <v>1.76</v>
      </c>
      <c r="K53" s="39" t="n">
        <v>2.5</v>
      </c>
      <c r="L53" s="40" t="n">
        <v>2.06</v>
      </c>
      <c r="M53" s="40" t="n">
        <v>0.43</v>
      </c>
      <c r="N53" s="41" t="n">
        <v>0</v>
      </c>
    </row>
    <row r="54">
      <c r="A54" s="42" t="n">
        <v>50</v>
      </c>
      <c r="B54" s="43" t="inlineStr">
        <is>
          <t>Cody White</t>
        </is>
      </c>
      <c r="C54" s="42" t="inlineStr">
        <is>
          <t>LV</t>
        </is>
      </c>
      <c r="D54" s="42" t="inlineStr">
        <is>
          <t>NYJ</t>
        </is>
      </c>
      <c r="E54" s="44" t="n">
        <v>4700</v>
      </c>
      <c r="F54" s="38" t="n"/>
      <c r="G54" s="54" t="n">
        <v>800</v>
      </c>
      <c r="H54" s="38" t="n"/>
      <c r="I54" s="45" t="n">
        <v>0.1111</v>
      </c>
      <c r="J54" s="45" t="n">
        <v>0.67</v>
      </c>
      <c r="K54" s="45" t="n">
        <v>4.6</v>
      </c>
      <c r="L54" s="40" t="n">
        <v>2.24</v>
      </c>
      <c r="M54" s="40" t="n">
        <v>0.48</v>
      </c>
      <c r="N54" s="41" t="n">
        <v>0</v>
      </c>
    </row>
    <row r="55">
      <c r="A55" s="35" t="n">
        <v>51</v>
      </c>
      <c r="B55" s="36" t="inlineStr">
        <is>
          <t>A.J. Brown</t>
        </is>
      </c>
      <c r="C55" s="35" t="inlineStr">
        <is>
          <t>NE</t>
        </is>
      </c>
      <c r="D55" s="35" t="inlineStr">
        <is>
          <t>MIA</t>
        </is>
      </c>
      <c r="E55" s="37" t="n">
        <v>6500</v>
      </c>
      <c r="F55" s="46" t="n"/>
      <c r="G55" s="54" t="n">
        <v>150</v>
      </c>
      <c r="H55" s="46" t="n"/>
      <c r="I55" s="39" t="n">
        <v>0.4</v>
      </c>
      <c r="J55" s="39" t="n">
        <v>2.4</v>
      </c>
      <c r="K55" s="39" t="n">
        <v>15.2</v>
      </c>
      <c r="L55" s="40" t="n">
        <v>7.52</v>
      </c>
      <c r="M55" s="40" t="n">
        <v>1.16</v>
      </c>
      <c r="N55" s="41" t="n">
        <v>0.0366</v>
      </c>
    </row>
    <row r="56">
      <c r="A56" s="42" t="n">
        <v>52</v>
      </c>
      <c r="B56" s="43" t="inlineStr">
        <is>
          <t>Alec Pierce</t>
        </is>
      </c>
      <c r="C56" s="42" t="inlineStr">
        <is>
          <t>IND</t>
        </is>
      </c>
      <c r="D56" s="42" t="inlineStr">
        <is>
          <t>JAC</t>
        </is>
      </c>
      <c r="E56" s="44" t="n">
        <v>5400</v>
      </c>
      <c r="F56" s="38" t="n"/>
      <c r="G56" s="54" t="n"/>
      <c r="H56" s="38" t="n"/>
      <c r="I56" s="45" t="n">
        <v>0.2564</v>
      </c>
      <c r="J56" s="45" t="n">
        <v>0</v>
      </c>
      <c r="K56" s="45" t="n">
        <v>0</v>
      </c>
      <c r="L56" s="40" t="n">
        <v>0</v>
      </c>
      <c r="M56" s="40" t="n">
        <v>0</v>
      </c>
      <c r="N56" s="41" t="n">
        <v>0.08</v>
      </c>
    </row>
    <row r="57">
      <c r="A57" s="35" t="n">
        <v>53</v>
      </c>
      <c r="B57" s="36" t="inlineStr">
        <is>
          <t>Ted Hurst III</t>
        </is>
      </c>
      <c r="C57" s="35" t="inlineStr">
        <is>
          <t>TB</t>
        </is>
      </c>
      <c r="D57" s="35" t="inlineStr">
        <is>
          <t>ATL</t>
        </is>
      </c>
      <c r="E57" s="37" t="n">
        <v>4800</v>
      </c>
      <c r="F57" s="38" t="n"/>
      <c r="G57" s="54" t="n">
        <v>260</v>
      </c>
      <c r="H57" s="38" t="n"/>
      <c r="I57" s="39" t="n">
        <v>0.2778</v>
      </c>
      <c r="J57" s="39" t="n">
        <v>1.67</v>
      </c>
      <c r="K57" s="39" t="n">
        <v>6.4</v>
      </c>
      <c r="L57" s="40" t="n">
        <v>3.56</v>
      </c>
      <c r="M57" s="40" t="n">
        <v>0.74</v>
      </c>
      <c r="N57" s="41" t="n">
        <v>0</v>
      </c>
    </row>
    <row r="58">
      <c r="A58" s="35" t="n">
        <v>54</v>
      </c>
      <c r="B58" s="36" t="inlineStr">
        <is>
          <t>Shedrick Jackson</t>
        </is>
      </c>
      <c r="C58" s="35" t="inlineStr">
        <is>
          <t>ARI</t>
        </is>
      </c>
      <c r="D58" s="35" t="inlineStr">
        <is>
          <t>DAL</t>
        </is>
      </c>
      <c r="E58" s="37" t="n">
        <v>4000</v>
      </c>
      <c r="F58" s="38" t="n"/>
      <c r="G58" s="54" t="n"/>
      <c r="H58" s="38" t="n"/>
      <c r="I58" s="39" t="n">
        <v>0.1961</v>
      </c>
      <c r="J58" s="39" t="n">
        <v>0</v>
      </c>
      <c r="K58" s="39" t="n">
        <v>0</v>
      </c>
      <c r="L58" s="40" t="n">
        <v>0</v>
      </c>
      <c r="M58" s="40" t="n">
        <v>0</v>
      </c>
      <c r="N58" s="41" t="n">
        <v>0.08</v>
      </c>
    </row>
    <row r="59">
      <c r="A59" s="42" t="n">
        <v>55</v>
      </c>
      <c r="B59" s="43" t="inlineStr">
        <is>
          <t>Josh Cameron</t>
        </is>
      </c>
      <c r="C59" s="42" t="inlineStr">
        <is>
          <t>JAC</t>
        </is>
      </c>
      <c r="D59" s="42" t="inlineStr">
        <is>
          <t>IND</t>
        </is>
      </c>
      <c r="E59" s="44" t="n">
        <v>4600</v>
      </c>
      <c r="F59" s="46" t="n"/>
      <c r="G59" s="54" t="n">
        <v>270</v>
      </c>
      <c r="H59" s="46" t="n"/>
      <c r="I59" s="45" t="n">
        <v>0.2703</v>
      </c>
      <c r="J59" s="45" t="n">
        <v>1.62</v>
      </c>
      <c r="K59" s="45" t="n">
        <v>5.3</v>
      </c>
      <c r="L59" s="40" t="n">
        <v>3.09</v>
      </c>
      <c r="M59" s="40" t="n">
        <v>0.67</v>
      </c>
      <c r="N59" s="41" t="n">
        <v>0</v>
      </c>
    </row>
    <row r="60">
      <c r="A60" s="35" t="n">
        <v>56</v>
      </c>
      <c r="B60" s="36" t="inlineStr">
        <is>
          <t>Chris Moore</t>
        </is>
      </c>
      <c r="C60" s="35" t="inlineStr">
        <is>
          <t>BAL</t>
        </is>
      </c>
      <c r="D60" s="35" t="inlineStr">
        <is>
          <t>BUF</t>
        </is>
      </c>
      <c r="E60" s="37" t="n">
        <v>4700</v>
      </c>
      <c r="F60" s="46" t="n"/>
      <c r="G60" s="47" t="n"/>
      <c r="H60" s="46" t="n"/>
      <c r="I60" s="49">
        <f>IF(OR(ISBLANK(G60), NOT(ISNUMBER(G60))), "", IF(G60 &lt; 0, -G60 / (-G60 + 100), 100 / (G60 + 100)))</f>
        <v/>
      </c>
      <c r="J60" s="39" t="n">
        <v>0</v>
      </c>
      <c r="K60" s="39" t="n">
        <v>0</v>
      </c>
      <c r="L60" s="40" t="n">
        <v>0</v>
      </c>
      <c r="M60" s="40" t="n">
        <v>0</v>
      </c>
      <c r="N60" s="41" t="n">
        <v>0.08</v>
      </c>
    </row>
    <row r="61">
      <c r="A61" s="35" t="n">
        <v>57</v>
      </c>
      <c r="B61" s="36" t="inlineStr">
        <is>
          <t>Jack Bech</t>
        </is>
      </c>
      <c r="C61" s="35" t="inlineStr">
        <is>
          <t>LV</t>
        </is>
      </c>
      <c r="D61" s="35" t="inlineStr">
        <is>
          <t>NYJ</t>
        </is>
      </c>
      <c r="E61" s="37" t="n">
        <v>4500</v>
      </c>
      <c r="F61" s="38" t="n"/>
      <c r="G61" s="54" t="n"/>
      <c r="H61" s="38" t="n"/>
      <c r="I61" s="39" t="n">
        <v>0.2222</v>
      </c>
      <c r="J61" s="39" t="n">
        <v>0</v>
      </c>
      <c r="K61" s="39" t="n">
        <v>0</v>
      </c>
      <c r="L61" s="40" t="n">
        <v>0</v>
      </c>
      <c r="M61" s="40" t="n">
        <v>0</v>
      </c>
      <c r="N61" s="41" t="n">
        <v>0.08</v>
      </c>
    </row>
    <row r="62">
      <c r="A62" s="35" t="n">
        <v>58</v>
      </c>
      <c r="B62" s="36" t="inlineStr">
        <is>
          <t>Courtland Sutton</t>
        </is>
      </c>
      <c r="C62" s="35" t="inlineStr">
        <is>
          <t>DEN</t>
        </is>
      </c>
      <c r="D62" s="35" t="inlineStr">
        <is>
          <t>KC</t>
        </is>
      </c>
      <c r="E62" s="37" t="n">
        <v>5700</v>
      </c>
      <c r="F62" s="38" t="n"/>
      <c r="G62" s="54" t="n">
        <v>250</v>
      </c>
      <c r="H62" s="38" t="n"/>
      <c r="I62" s="39" t="n">
        <v>0.2857</v>
      </c>
      <c r="J62" s="39" t="n">
        <v>1.71</v>
      </c>
      <c r="K62" s="39" t="n">
        <v>8.199999999999999</v>
      </c>
      <c r="L62" s="40" t="n">
        <v>4.31</v>
      </c>
      <c r="M62" s="40" t="n">
        <v>0.76</v>
      </c>
      <c r="N62" s="41" t="n">
        <v>0.0005999999999999999</v>
      </c>
    </row>
    <row r="63">
      <c r="A63" s="42" t="n">
        <v>59</v>
      </c>
      <c r="B63" s="43" t="inlineStr">
        <is>
          <t>Tez Johnson</t>
        </is>
      </c>
      <c r="C63" s="42" t="inlineStr">
        <is>
          <t>TB</t>
        </is>
      </c>
      <c r="D63" s="42" t="inlineStr">
        <is>
          <t>ATL</t>
        </is>
      </c>
      <c r="E63" s="44" t="n">
        <v>4800</v>
      </c>
      <c r="F63" s="38" t="n"/>
      <c r="G63" s="54" t="n">
        <v>400</v>
      </c>
      <c r="H63" s="38" t="n"/>
      <c r="I63" s="45" t="n">
        <v>0.2</v>
      </c>
      <c r="J63" s="45" t="n">
        <v>1.2</v>
      </c>
      <c r="K63" s="45" t="n">
        <v>5</v>
      </c>
      <c r="L63" s="40" t="n">
        <v>2.72</v>
      </c>
      <c r="M63" s="40" t="n">
        <v>0.57</v>
      </c>
      <c r="N63" s="41" t="n">
        <v>0</v>
      </c>
    </row>
    <row r="64">
      <c r="A64" s="35" t="n">
        <v>60</v>
      </c>
      <c r="B64" s="36" t="inlineStr">
        <is>
          <t>Adonai Mitchell</t>
        </is>
      </c>
      <c r="C64" s="35" t="inlineStr">
        <is>
          <t>NYJ</t>
        </is>
      </c>
      <c r="D64" s="35" t="inlineStr">
        <is>
          <t>LV</t>
        </is>
      </c>
      <c r="E64" s="37" t="n">
        <v>4900</v>
      </c>
      <c r="F64" s="38" t="n"/>
      <c r="G64" s="54" t="n">
        <v>400</v>
      </c>
      <c r="H64" s="38" t="n"/>
      <c r="I64" s="39" t="n">
        <v>0.2</v>
      </c>
      <c r="J64" s="39" t="n">
        <v>1.2</v>
      </c>
      <c r="K64" s="39" t="n">
        <v>7.2</v>
      </c>
      <c r="L64" s="40" t="n">
        <v>3.6</v>
      </c>
      <c r="M64" s="40" t="n">
        <v>0.73</v>
      </c>
      <c r="N64" s="41" t="n">
        <v>0</v>
      </c>
    </row>
    <row r="65">
      <c r="A65" s="42" t="n">
        <v>61</v>
      </c>
      <c r="B65" s="43" t="inlineStr">
        <is>
          <t>Quentin Johnston</t>
        </is>
      </c>
      <c r="C65" s="42" t="inlineStr">
        <is>
          <t>LAC</t>
        </is>
      </c>
      <c r="D65" s="42" t="inlineStr">
        <is>
          <t>LAR</t>
        </is>
      </c>
      <c r="E65" s="44" t="n">
        <v>5100</v>
      </c>
      <c r="F65" s="38" t="n"/>
      <c r="G65" s="54" t="n">
        <v>270</v>
      </c>
      <c r="H65" s="38" t="n"/>
      <c r="I65" s="45" t="n">
        <v>0.2703</v>
      </c>
      <c r="J65" s="45" t="n">
        <v>1.62</v>
      </c>
      <c r="K65" s="45" t="n">
        <v>5.9</v>
      </c>
      <c r="L65" s="40" t="n">
        <v>3.33</v>
      </c>
      <c r="M65" s="40" t="n">
        <v>0.65</v>
      </c>
      <c r="N65" s="41" t="n">
        <v>0</v>
      </c>
    </row>
    <row r="66">
      <c r="A66" s="42" t="n">
        <v>62</v>
      </c>
      <c r="B66" s="43" t="inlineStr">
        <is>
          <t>Michael Pittman Jr.</t>
        </is>
      </c>
      <c r="C66" s="42" t="inlineStr">
        <is>
          <t>PIT</t>
        </is>
      </c>
      <c r="D66" s="42" t="inlineStr">
        <is>
          <t>CLE</t>
        </is>
      </c>
      <c r="E66" s="44" t="n">
        <v>4000</v>
      </c>
      <c r="F66" s="38" t="n"/>
      <c r="G66" s="54" t="n"/>
      <c r="H66" s="38" t="n"/>
      <c r="I66" s="45" t="n">
        <v>0.2857</v>
      </c>
      <c r="J66" s="45" t="n">
        <v>0</v>
      </c>
      <c r="K66" s="45" t="n">
        <v>0</v>
      </c>
      <c r="L66" s="40" t="n">
        <v>0</v>
      </c>
      <c r="M66" s="40" t="n">
        <v>0</v>
      </c>
      <c r="N66" s="41" t="n">
        <v>0.08</v>
      </c>
    </row>
    <row r="67">
      <c r="A67" s="35" t="n">
        <v>63</v>
      </c>
      <c r="B67" s="36" t="inlineStr">
        <is>
          <t>Isaac TeSlaa</t>
        </is>
      </c>
      <c r="C67" s="35" t="inlineStr">
        <is>
          <t>DET</t>
        </is>
      </c>
      <c r="D67" s="35" t="inlineStr">
        <is>
          <t>MIN</t>
        </is>
      </c>
      <c r="E67" s="37" t="n">
        <v>4700</v>
      </c>
      <c r="F67" s="38" t="n"/>
      <c r="G67" s="54" t="n">
        <v>475</v>
      </c>
      <c r="H67" s="38" t="n"/>
      <c r="I67" s="39" t="n">
        <v>0.1739</v>
      </c>
      <c r="J67" s="39" t="n">
        <v>1.04</v>
      </c>
      <c r="K67" s="39" t="n">
        <v>5.6</v>
      </c>
      <c r="L67" s="40" t="n">
        <v>2.87</v>
      </c>
      <c r="M67" s="40" t="n">
        <v>0.61</v>
      </c>
      <c r="N67" s="41" t="n">
        <v>0</v>
      </c>
    </row>
    <row r="68">
      <c r="A68" s="35" t="n">
        <v>64</v>
      </c>
      <c r="B68" s="36" t="inlineStr">
        <is>
          <t>Konata Mumpfield</t>
        </is>
      </c>
      <c r="C68" s="35" t="inlineStr">
        <is>
          <t>LAR</t>
        </is>
      </c>
      <c r="D68" s="35" t="inlineStr">
        <is>
          <t>LAC</t>
        </is>
      </c>
      <c r="E68" s="37" t="n">
        <v>4800</v>
      </c>
      <c r="F68" s="38" t="n"/>
      <c r="G68" s="54" t="n">
        <v>200</v>
      </c>
      <c r="H68" s="38" t="n"/>
      <c r="I68" s="39" t="n">
        <v>0.3333</v>
      </c>
      <c r="J68" s="39" t="n">
        <v>2</v>
      </c>
      <c r="K68" s="39" t="n">
        <v>4.2</v>
      </c>
      <c r="L68" s="40" t="n">
        <v>2.88</v>
      </c>
      <c r="M68" s="40" t="n">
        <v>0.6</v>
      </c>
      <c r="N68" s="41" t="n">
        <v>0</v>
      </c>
    </row>
    <row r="69">
      <c r="A69" s="42" t="n">
        <v>65</v>
      </c>
      <c r="B69" s="43" t="inlineStr">
        <is>
          <t>Elic Ayomanor</t>
        </is>
      </c>
      <c r="C69" s="42" t="inlineStr">
        <is>
          <t>TEN</t>
        </is>
      </c>
      <c r="D69" s="42" t="inlineStr">
        <is>
          <t>CIN</t>
        </is>
      </c>
      <c r="E69" s="44" t="n">
        <v>4700</v>
      </c>
      <c r="F69" s="46" t="n"/>
      <c r="G69" s="54" t="n">
        <v>550</v>
      </c>
      <c r="H69" s="46" t="n"/>
      <c r="I69" s="45" t="n">
        <v>0.1538</v>
      </c>
      <c r="J69" s="45" t="n">
        <v>0.92</v>
      </c>
      <c r="K69" s="45" t="n">
        <v>4.8</v>
      </c>
      <c r="L69" s="40" t="n">
        <v>2.47</v>
      </c>
      <c r="M69" s="40" t="n">
        <v>0.53</v>
      </c>
      <c r="N69" s="41" t="n">
        <v>0</v>
      </c>
    </row>
    <row r="70">
      <c r="A70" s="35" t="n">
        <v>66</v>
      </c>
      <c r="B70" s="36" t="inlineStr">
        <is>
          <t>Isaiah Williams</t>
        </is>
      </c>
      <c r="C70" s="35" t="inlineStr">
        <is>
          <t>NYJ</t>
        </is>
      </c>
      <c r="D70" s="35" t="inlineStr">
        <is>
          <t>LV</t>
        </is>
      </c>
      <c r="E70" s="37" t="n">
        <v>4700</v>
      </c>
      <c r="F70" s="38" t="n"/>
      <c r="G70" s="54" t="n">
        <v>1100</v>
      </c>
      <c r="H70" s="38" t="n"/>
      <c r="I70" s="39" t="n">
        <v>0.0833</v>
      </c>
      <c r="J70" s="39" t="n">
        <v>0.5</v>
      </c>
      <c r="K70" s="39" t="n">
        <v>1.5</v>
      </c>
      <c r="L70" s="40" t="n">
        <v>0.9</v>
      </c>
      <c r="M70" s="40" t="n">
        <v>0.19</v>
      </c>
      <c r="N70" s="41" t="n">
        <v>0</v>
      </c>
    </row>
    <row r="71">
      <c r="A71" s="42" t="n">
        <v>67</v>
      </c>
      <c r="B71" s="43" t="inlineStr">
        <is>
          <t>Laquon Treadwell</t>
        </is>
      </c>
      <c r="C71" s="42" t="inlineStr">
        <is>
          <t>IND</t>
        </is>
      </c>
      <c r="D71" s="42" t="inlineStr">
        <is>
          <t>JAC</t>
        </is>
      </c>
      <c r="E71" s="44" t="n">
        <v>4900</v>
      </c>
      <c r="F71" s="38" t="n"/>
      <c r="G71" s="54" t="n">
        <v>600</v>
      </c>
      <c r="H71" s="38" t="n"/>
      <c r="I71" s="45" t="n">
        <v>0.1429</v>
      </c>
      <c r="J71" s="45" t="n">
        <v>0.86</v>
      </c>
      <c r="K71" s="45" t="n">
        <v>5.2</v>
      </c>
      <c r="L71" s="40" t="n">
        <v>2.59</v>
      </c>
      <c r="M71" s="40" t="n">
        <v>0.53</v>
      </c>
      <c r="N71" s="41" t="n">
        <v>0</v>
      </c>
    </row>
    <row r="72">
      <c r="A72" s="42" t="n">
        <v>68</v>
      </c>
      <c r="B72" s="43" t="inlineStr">
        <is>
          <t>Efton Chism III</t>
        </is>
      </c>
      <c r="C72" s="42" t="inlineStr">
        <is>
          <t>NE</t>
        </is>
      </c>
      <c r="D72" s="42" t="inlineStr">
        <is>
          <t>MIA</t>
        </is>
      </c>
      <c r="E72" s="44" t="n">
        <v>5000</v>
      </c>
      <c r="F72" s="46" t="n"/>
      <c r="G72" s="54" t="n">
        <v>325</v>
      </c>
      <c r="H72" s="46" t="n"/>
      <c r="I72" s="45" t="n">
        <v>0.2353</v>
      </c>
      <c r="J72" s="45" t="n">
        <v>1.41</v>
      </c>
      <c r="K72" s="45" t="n">
        <v>5.5</v>
      </c>
      <c r="L72" s="40" t="n">
        <v>3.05</v>
      </c>
      <c r="M72" s="40" t="n">
        <v>0.61</v>
      </c>
      <c r="N72" s="41" t="n">
        <v>0</v>
      </c>
    </row>
    <row r="73">
      <c r="A73" s="42" t="n">
        <v>69</v>
      </c>
      <c r="B73" s="43" t="inlineStr">
        <is>
          <t>Ja'Kobi Lane</t>
        </is>
      </c>
      <c r="C73" s="42" t="inlineStr">
        <is>
          <t>BAL</t>
        </is>
      </c>
      <c r="D73" s="42" t="inlineStr">
        <is>
          <t>BUF</t>
        </is>
      </c>
      <c r="E73" s="44" t="n">
        <v>4500</v>
      </c>
      <c r="F73" s="38" t="n"/>
      <c r="G73" s="54" t="n">
        <v>350</v>
      </c>
      <c r="H73" s="38" t="n"/>
      <c r="I73" s="45" t="n">
        <v>0.2222</v>
      </c>
      <c r="J73" s="45" t="n">
        <v>1.33</v>
      </c>
      <c r="K73" s="45" t="n">
        <v>7.5</v>
      </c>
      <c r="L73" s="40" t="n">
        <v>3.8</v>
      </c>
      <c r="M73" s="40" t="n">
        <v>0.84</v>
      </c>
      <c r="N73" s="41" t="n">
        <v>0</v>
      </c>
    </row>
    <row r="74">
      <c r="A74" s="35" t="n">
        <v>70</v>
      </c>
      <c r="B74" s="36" t="inlineStr">
        <is>
          <t>Mitch Tinsley</t>
        </is>
      </c>
      <c r="C74" s="35" t="inlineStr">
        <is>
          <t>CIN</t>
        </is>
      </c>
      <c r="D74" s="35" t="inlineStr">
        <is>
          <t>TEN</t>
        </is>
      </c>
      <c r="E74" s="37" t="n">
        <v>4500</v>
      </c>
      <c r="F74" s="38" t="n"/>
      <c r="G74" s="54" t="n"/>
      <c r="H74" s="38" t="n"/>
      <c r="I74" s="39" t="n">
        <v>0.07140000000000001</v>
      </c>
      <c r="J74" s="39" t="n">
        <v>0</v>
      </c>
      <c r="K74" s="39" t="n">
        <v>0</v>
      </c>
      <c r="L74" s="40" t="n">
        <v>0</v>
      </c>
      <c r="M74" s="40" t="n">
        <v>0</v>
      </c>
      <c r="N74" s="41" t="n">
        <v>0.08</v>
      </c>
    </row>
    <row r="75">
      <c r="A75" s="42" t="n">
        <v>71</v>
      </c>
      <c r="B75" s="43" t="inlineStr">
        <is>
          <t>Isaiah Hodgins</t>
        </is>
      </c>
      <c r="C75" s="42" t="inlineStr">
        <is>
          <t>PIT</t>
        </is>
      </c>
      <c r="D75" s="42" t="inlineStr">
        <is>
          <t>CLE</t>
        </is>
      </c>
      <c r="E75" s="44" t="n">
        <v>4100</v>
      </c>
      <c r="F75" s="38" t="n"/>
      <c r="G75" s="54" t="n"/>
      <c r="H75" s="38" t="n"/>
      <c r="I75" s="45" t="n">
        <v>0.0833</v>
      </c>
      <c r="J75" s="45" t="n">
        <v>0</v>
      </c>
      <c r="K75" s="45" t="n">
        <v>0</v>
      </c>
      <c r="L75" s="40" t="n">
        <v>0</v>
      </c>
      <c r="M75" s="40" t="n">
        <v>0</v>
      </c>
      <c r="N75" s="41" t="n">
        <v>0.08</v>
      </c>
    </row>
    <row r="76">
      <c r="A76" s="35" t="n">
        <v>72</v>
      </c>
      <c r="B76" s="36" t="inlineStr">
        <is>
          <t>KeAndre Lambert-Smith</t>
        </is>
      </c>
      <c r="C76" s="35" t="inlineStr">
        <is>
          <t>LAC</t>
        </is>
      </c>
      <c r="D76" s="35" t="inlineStr">
        <is>
          <t>LAR</t>
        </is>
      </c>
      <c r="E76" s="37" t="n">
        <v>4800</v>
      </c>
      <c r="F76" s="38" t="n"/>
      <c r="G76" s="54" t="n">
        <v>900</v>
      </c>
      <c r="H76" s="38" t="n"/>
      <c r="I76" s="39" t="n">
        <v>0.1</v>
      </c>
      <c r="J76" s="39" t="n">
        <v>0.6</v>
      </c>
      <c r="K76" s="39" t="n">
        <v>0</v>
      </c>
      <c r="L76" s="40" t="n">
        <v>0.6</v>
      </c>
      <c r="M76" s="40" t="n">
        <v>0.13</v>
      </c>
      <c r="N76" s="41" t="n">
        <v>0</v>
      </c>
    </row>
    <row r="77">
      <c r="A77" s="42" t="n">
        <v>73</v>
      </c>
      <c r="B77" s="43" t="inlineStr">
        <is>
          <t>Dohnte Meyers</t>
        </is>
      </c>
      <c r="C77" s="42" t="inlineStr">
        <is>
          <t>CIN</t>
        </is>
      </c>
      <c r="D77" s="42" t="inlineStr">
        <is>
          <t>TEN</t>
        </is>
      </c>
      <c r="E77" s="44" t="n">
        <v>4600</v>
      </c>
      <c r="F77" s="38" t="n"/>
      <c r="G77" s="54" t="n">
        <v>300</v>
      </c>
      <c r="H77" s="38" t="n"/>
      <c r="I77" s="45" t="n">
        <v>0.25</v>
      </c>
      <c r="J77" s="45" t="n">
        <v>1.5</v>
      </c>
      <c r="K77" s="45" t="n">
        <v>5.5</v>
      </c>
      <c r="L77" s="40" t="n">
        <v>3.1</v>
      </c>
      <c r="M77" s="40" t="n">
        <v>0.67</v>
      </c>
      <c r="N77" s="41" t="n">
        <v>0</v>
      </c>
    </row>
    <row r="78">
      <c r="A78" s="42" t="n">
        <v>74</v>
      </c>
      <c r="B78" s="43" t="inlineStr">
        <is>
          <t>Jerry Jeudy</t>
        </is>
      </c>
      <c r="C78" s="42" t="inlineStr">
        <is>
          <t>CLE</t>
        </is>
      </c>
      <c r="D78" s="42" t="inlineStr">
        <is>
          <t>PIT</t>
        </is>
      </c>
      <c r="E78" s="44" t="n">
        <v>5300</v>
      </c>
      <c r="F78" s="38" t="n"/>
      <c r="G78" s="54" t="n">
        <v>550</v>
      </c>
      <c r="H78" s="38" t="n"/>
      <c r="I78" s="45" t="n">
        <v>0.1538</v>
      </c>
      <c r="J78" s="45" t="n">
        <v>0.92</v>
      </c>
      <c r="K78" s="45" t="n">
        <v>4.4</v>
      </c>
      <c r="L78" s="40" t="n">
        <v>2.31</v>
      </c>
      <c r="M78" s="40" t="n">
        <v>0.44</v>
      </c>
      <c r="N78" s="41" t="n">
        <v>0</v>
      </c>
    </row>
    <row r="79">
      <c r="A79" s="42" t="n">
        <v>75</v>
      </c>
      <c r="B79" s="43" t="inlineStr">
        <is>
          <t>Ben Skowronek</t>
        </is>
      </c>
      <c r="C79" s="42" t="inlineStr">
        <is>
          <t>PIT</t>
        </is>
      </c>
      <c r="D79" s="42" t="inlineStr">
        <is>
          <t>CLE</t>
        </is>
      </c>
      <c r="E79" s="44" t="n">
        <v>4200</v>
      </c>
      <c r="F79" s="38" t="n"/>
      <c r="G79" s="54" t="n">
        <v>800</v>
      </c>
      <c r="H79" s="38" t="n"/>
      <c r="I79" s="45" t="n">
        <v>0.1111</v>
      </c>
      <c r="J79" s="45" t="n">
        <v>0.67</v>
      </c>
      <c r="K79" s="45" t="n">
        <v>0</v>
      </c>
      <c r="L79" s="40" t="n">
        <v>0.67</v>
      </c>
      <c r="M79" s="40" t="n">
        <v>0.16</v>
      </c>
      <c r="N79" s="41" t="n">
        <v>0</v>
      </c>
    </row>
    <row r="80">
      <c r="A80" s="42" t="n">
        <v>76</v>
      </c>
      <c r="B80" s="43" t="inlineStr">
        <is>
          <t>Brian Thomas Jr.</t>
        </is>
      </c>
      <c r="C80" s="42" t="inlineStr">
        <is>
          <t>JAC</t>
        </is>
      </c>
      <c r="D80" s="42" t="inlineStr">
        <is>
          <t>IND</t>
        </is>
      </c>
      <c r="E80" s="44" t="n">
        <v>5300</v>
      </c>
      <c r="F80" s="46" t="n"/>
      <c r="G80" s="54" t="n">
        <v>325</v>
      </c>
      <c r="H80" s="46" t="n"/>
      <c r="I80" s="45" t="n">
        <v>0.2353</v>
      </c>
      <c r="J80" s="45" t="n">
        <v>1.41</v>
      </c>
      <c r="K80" s="45" t="n">
        <v>5.2</v>
      </c>
      <c r="L80" s="40" t="n">
        <v>2.93</v>
      </c>
      <c r="M80" s="40" t="n">
        <v>0.55</v>
      </c>
      <c r="N80" s="41" t="n">
        <v>0</v>
      </c>
    </row>
    <row r="81">
      <c r="A81" s="35" t="n">
        <v>77</v>
      </c>
      <c r="B81" s="36" t="inlineStr">
        <is>
          <t>Kyle Williams</t>
        </is>
      </c>
      <c r="C81" s="35" t="inlineStr">
        <is>
          <t>NE</t>
        </is>
      </c>
      <c r="D81" s="35" t="inlineStr">
        <is>
          <t>MIA</t>
        </is>
      </c>
      <c r="E81" s="37" t="n">
        <v>4400</v>
      </c>
      <c r="F81" s="38" t="n"/>
      <c r="G81" s="54" t="n">
        <v>500</v>
      </c>
      <c r="H81" s="38" t="n"/>
      <c r="I81" s="39" t="n">
        <v>0.1667</v>
      </c>
      <c r="J81" s="39" t="n">
        <v>1</v>
      </c>
      <c r="K81" s="39" t="n">
        <v>4.4</v>
      </c>
      <c r="L81" s="40" t="n">
        <v>2.36</v>
      </c>
      <c r="M81" s="40" t="n">
        <v>0.54</v>
      </c>
      <c r="N81" s="41" t="n">
        <v>0</v>
      </c>
    </row>
    <row r="82">
      <c r="A82" s="35" t="n">
        <v>78</v>
      </c>
      <c r="B82" s="36" t="inlineStr">
        <is>
          <t>Devontez Walker</t>
        </is>
      </c>
      <c r="C82" s="35" t="inlineStr">
        <is>
          <t>BAL</t>
        </is>
      </c>
      <c r="D82" s="35" t="inlineStr">
        <is>
          <t>BUF</t>
        </is>
      </c>
      <c r="E82" s="37" t="n">
        <v>4300</v>
      </c>
      <c r="F82" s="46" t="n"/>
      <c r="G82" s="54" t="n">
        <v>1100</v>
      </c>
      <c r="H82" s="46" t="n"/>
      <c r="I82" s="39" t="n">
        <v>0.0833</v>
      </c>
      <c r="J82" s="39" t="n">
        <v>0.5</v>
      </c>
      <c r="K82" s="39" t="n">
        <v>1.7</v>
      </c>
      <c r="L82" s="40" t="n">
        <v>0.98</v>
      </c>
      <c r="M82" s="40" t="n">
        <v>0.23</v>
      </c>
      <c r="N82" s="41" t="n">
        <v>0</v>
      </c>
    </row>
    <row r="83">
      <c r="A83" s="35" t="n">
        <v>79</v>
      </c>
      <c r="B83" s="36" t="inlineStr">
        <is>
          <t>Chris Bell</t>
        </is>
      </c>
      <c r="C83" s="35" t="inlineStr">
        <is>
          <t>MIA</t>
        </is>
      </c>
      <c r="D83" s="35" t="inlineStr">
        <is>
          <t>NE</t>
        </is>
      </c>
      <c r="E83" s="37" t="n">
        <v>4800</v>
      </c>
      <c r="F83" s="46" t="n"/>
      <c r="G83" s="54" t="n">
        <v>450</v>
      </c>
      <c r="H83" s="46" t="n"/>
      <c r="I83" s="39" t="n">
        <v>0.1818</v>
      </c>
      <c r="J83" s="39" t="n">
        <v>1.09</v>
      </c>
      <c r="K83" s="39" t="n">
        <v>6.7</v>
      </c>
      <c r="L83" s="40" t="n">
        <v>3.33</v>
      </c>
      <c r="M83" s="40" t="n">
        <v>0.6899999999999999</v>
      </c>
      <c r="N83" s="41" t="n">
        <v>0</v>
      </c>
    </row>
    <row r="84">
      <c r="A84" s="35" t="n">
        <v>80</v>
      </c>
      <c r="B84" s="36" t="inlineStr">
        <is>
          <t>Jared Wayne</t>
        </is>
      </c>
      <c r="C84" s="35" t="inlineStr">
        <is>
          <t>MIA</t>
        </is>
      </c>
      <c r="D84" s="35" t="inlineStr">
        <is>
          <t>NE</t>
        </is>
      </c>
      <c r="E84" s="37" t="n">
        <v>4400</v>
      </c>
      <c r="F84" s="46" t="n"/>
      <c r="G84" s="54" t="n">
        <v>1700</v>
      </c>
      <c r="H84" s="46" t="n"/>
      <c r="I84" s="39" t="n">
        <v>0.0556</v>
      </c>
      <c r="J84" s="39" t="n">
        <v>0.33</v>
      </c>
      <c r="K84" s="39" t="n">
        <v>1.5</v>
      </c>
      <c r="L84" s="40" t="n">
        <v>0.8</v>
      </c>
      <c r="M84" s="40" t="n">
        <v>0.18</v>
      </c>
      <c r="N84" s="41" t="n">
        <v>0</v>
      </c>
    </row>
    <row r="85">
      <c r="A85" s="42" t="n">
        <v>81</v>
      </c>
      <c r="B85" s="43" t="inlineStr">
        <is>
          <t>Travis Hunter</t>
        </is>
      </c>
      <c r="C85" s="42" t="inlineStr">
        <is>
          <t>JAC</t>
        </is>
      </c>
      <c r="D85" s="42" t="inlineStr">
        <is>
          <t>IND</t>
        </is>
      </c>
      <c r="E85" s="44" t="n">
        <v>4600</v>
      </c>
      <c r="F85" s="46" t="n"/>
      <c r="G85" s="54" t="n">
        <v>350</v>
      </c>
      <c r="H85" s="46" t="n"/>
      <c r="I85" s="45" t="n">
        <v>0.2222</v>
      </c>
      <c r="J85" s="45" t="n">
        <v>1.33</v>
      </c>
      <c r="K85" s="45" t="n">
        <v>2.3</v>
      </c>
      <c r="L85" s="40" t="n">
        <v>1.72</v>
      </c>
      <c r="M85" s="40" t="n">
        <v>0.37</v>
      </c>
      <c r="N85" s="41" t="n">
        <v>0</v>
      </c>
    </row>
    <row r="86">
      <c r="A86" s="42" t="n">
        <v>82</v>
      </c>
      <c r="B86" s="43" t="inlineStr">
        <is>
          <t>Tim Patrick</t>
        </is>
      </c>
      <c r="C86" s="42" t="inlineStr">
        <is>
          <t>NYJ</t>
        </is>
      </c>
      <c r="D86" s="42" t="inlineStr">
        <is>
          <t>LV</t>
        </is>
      </c>
      <c r="E86" s="44" t="n">
        <v>4500</v>
      </c>
      <c r="F86" s="38" t="n"/>
      <c r="G86" s="54" t="n">
        <v>1100</v>
      </c>
      <c r="H86" s="38" t="n"/>
      <c r="I86" s="45" t="n">
        <v>0.0833</v>
      </c>
      <c r="J86" s="45" t="n">
        <v>0.5</v>
      </c>
      <c r="K86" s="45" t="n">
        <v>0</v>
      </c>
      <c r="L86" s="40" t="n">
        <v>0.5</v>
      </c>
      <c r="M86" s="40" t="n">
        <v>0.11</v>
      </c>
      <c r="N86" s="41" t="n">
        <v>0</v>
      </c>
    </row>
    <row r="87">
      <c r="A87" s="42" t="n">
        <v>83</v>
      </c>
      <c r="B87" s="43" t="inlineStr">
        <is>
          <t>Xavier Restrepo</t>
        </is>
      </c>
      <c r="C87" s="42" t="inlineStr">
        <is>
          <t>TEN</t>
        </is>
      </c>
      <c r="D87" s="42" t="inlineStr">
        <is>
          <t>CIN</t>
        </is>
      </c>
      <c r="E87" s="44" t="n">
        <v>4000</v>
      </c>
      <c r="F87" s="46" t="n"/>
      <c r="G87" s="54" t="n"/>
      <c r="H87" s="46" t="n"/>
      <c r="I87" s="45" t="n">
        <v>0.1429</v>
      </c>
      <c r="J87" s="45" t="n">
        <v>0</v>
      </c>
      <c r="K87" s="45" t="n">
        <v>0</v>
      </c>
      <c r="L87" s="40" t="n">
        <v>0</v>
      </c>
      <c r="M87" s="40" t="n">
        <v>0</v>
      </c>
      <c r="N87" s="41" t="n">
        <v>0.08</v>
      </c>
    </row>
    <row r="88">
      <c r="A88" s="42" t="n">
        <v>84</v>
      </c>
      <c r="B88" s="43" t="inlineStr">
        <is>
          <t>Isaiah Bond</t>
        </is>
      </c>
      <c r="C88" s="42" t="inlineStr">
        <is>
          <t>CLE</t>
        </is>
      </c>
      <c r="D88" s="42" t="inlineStr">
        <is>
          <t>PIT</t>
        </is>
      </c>
      <c r="E88" s="44" t="n">
        <v>4500</v>
      </c>
      <c r="F88" s="46" t="n"/>
      <c r="G88" s="54" t="n">
        <v>1100</v>
      </c>
      <c r="H88" s="46" t="n"/>
      <c r="I88" s="45" t="n">
        <v>0.0833</v>
      </c>
      <c r="J88" s="45" t="n">
        <v>0.5</v>
      </c>
      <c r="K88" s="45" t="n">
        <v>0</v>
      </c>
      <c r="L88" s="40" t="n">
        <v>0.5</v>
      </c>
      <c r="M88" s="40" t="n">
        <v>0.11</v>
      </c>
      <c r="N88" s="41" t="n">
        <v>0</v>
      </c>
    </row>
    <row r="89">
      <c r="A89" s="42" t="n">
        <v>85</v>
      </c>
      <c r="B89" s="43" t="inlineStr">
        <is>
          <t>Michael Bandy</t>
        </is>
      </c>
      <c r="C89" s="42" t="inlineStr">
        <is>
          <t>DEN</t>
        </is>
      </c>
      <c r="D89" s="42" t="inlineStr">
        <is>
          <t>KC</t>
        </is>
      </c>
      <c r="E89" s="44" t="n">
        <v>4000</v>
      </c>
      <c r="F89" s="46" t="n"/>
      <c r="G89" s="54" t="n"/>
      <c r="H89" s="46" t="n"/>
      <c r="I89" s="45" t="n">
        <v>0.0476</v>
      </c>
      <c r="J89" s="45" t="n">
        <v>0</v>
      </c>
      <c r="K89" s="45" t="n">
        <v>0</v>
      </c>
      <c r="L89" s="40" t="n">
        <v>0</v>
      </c>
      <c r="M89" s="40" t="n">
        <v>0</v>
      </c>
      <c r="N89" s="41" t="n">
        <v>0.08</v>
      </c>
    </row>
    <row r="90">
      <c r="A90" s="35" t="n">
        <v>86</v>
      </c>
      <c r="B90" s="36" t="inlineStr">
        <is>
          <t>Theo Wease Jr.</t>
        </is>
      </c>
      <c r="C90" s="35" t="inlineStr">
        <is>
          <t>LAC</t>
        </is>
      </c>
      <c r="D90" s="35" t="inlineStr">
        <is>
          <t>LAR</t>
        </is>
      </c>
      <c r="E90" s="37" t="n">
        <v>4200</v>
      </c>
      <c r="F90" s="46" t="n"/>
      <c r="G90" s="54" t="n">
        <v>1100</v>
      </c>
      <c r="H90" s="46" t="n"/>
      <c r="I90" s="39" t="n">
        <v>0.0833</v>
      </c>
      <c r="J90" s="39" t="n">
        <v>0.5</v>
      </c>
      <c r="K90" s="39" t="n">
        <v>0</v>
      </c>
      <c r="L90" s="40" t="n">
        <v>0.5</v>
      </c>
      <c r="M90" s="40" t="n">
        <v>0.12</v>
      </c>
      <c r="N90" s="41" t="n">
        <v>0</v>
      </c>
    </row>
    <row r="91">
      <c r="A91" s="42" t="n">
        <v>87</v>
      </c>
      <c r="B91" s="43" t="inlineStr">
        <is>
          <t>Kevin Coleman Jr.</t>
        </is>
      </c>
      <c r="C91" s="42" t="inlineStr">
        <is>
          <t>MIA</t>
        </is>
      </c>
      <c r="D91" s="42" t="inlineStr">
        <is>
          <t>NE</t>
        </is>
      </c>
      <c r="E91" s="44" t="n">
        <v>4600</v>
      </c>
      <c r="F91" s="46" t="n"/>
      <c r="G91" s="54" t="n">
        <v>800</v>
      </c>
      <c r="H91" s="46" t="n"/>
      <c r="I91" s="45" t="n">
        <v>0.1111</v>
      </c>
      <c r="J91" s="45" t="n">
        <v>0.67</v>
      </c>
      <c r="K91" s="45" t="n">
        <v>2.1</v>
      </c>
      <c r="L91" s="40" t="n">
        <v>1.24</v>
      </c>
      <c r="M91" s="40" t="n">
        <v>0.27</v>
      </c>
      <c r="N91" s="41" t="n">
        <v>0</v>
      </c>
    </row>
    <row r="92">
      <c r="A92" s="35" t="n">
        <v>88</v>
      </c>
      <c r="B92" s="36" t="inlineStr">
        <is>
          <t>Jalen Nailor</t>
        </is>
      </c>
      <c r="C92" s="35" t="inlineStr">
        <is>
          <t>LV</t>
        </is>
      </c>
      <c r="D92" s="35" t="inlineStr">
        <is>
          <t>NYJ</t>
        </is>
      </c>
      <c r="E92" s="37" t="n">
        <v>4900</v>
      </c>
      <c r="F92" s="38" t="n"/>
      <c r="G92" s="54" t="n">
        <v>500</v>
      </c>
      <c r="H92" s="38" t="n"/>
      <c r="I92" s="39" t="n">
        <v>0.1667</v>
      </c>
      <c r="J92" s="39" t="n">
        <v>1</v>
      </c>
      <c r="K92" s="39" t="n">
        <v>6.8</v>
      </c>
      <c r="L92" s="40" t="n">
        <v>3.32</v>
      </c>
      <c r="M92" s="40" t="n">
        <v>0.68</v>
      </c>
      <c r="N92" s="41" t="n">
        <v>0</v>
      </c>
    </row>
    <row r="93">
      <c r="A93" s="35" t="n">
        <v>89</v>
      </c>
      <c r="B93" s="36" t="inlineStr">
        <is>
          <t>Calvin Ridley</t>
        </is>
      </c>
      <c r="C93" s="35" t="inlineStr">
        <is>
          <t>TEN</t>
        </is>
      </c>
      <c r="D93" s="35" t="inlineStr">
        <is>
          <t>CIN</t>
        </is>
      </c>
      <c r="E93" s="37" t="n">
        <v>4700</v>
      </c>
      <c r="F93" s="38" t="n"/>
      <c r="G93" s="54" t="n">
        <v>700</v>
      </c>
      <c r="H93" s="38" t="n"/>
      <c r="I93" s="39" t="n">
        <v>0.125</v>
      </c>
      <c r="J93" s="39" t="n">
        <v>0.75</v>
      </c>
      <c r="K93" s="39" t="n">
        <v>2.8</v>
      </c>
      <c r="L93" s="40" t="n">
        <v>1.57</v>
      </c>
      <c r="M93" s="40" t="n">
        <v>0.33</v>
      </c>
      <c r="N93" s="41" t="n">
        <v>0</v>
      </c>
    </row>
    <row r="94">
      <c r="A94" s="42" t="n">
        <v>90</v>
      </c>
      <c r="B94" s="43" t="inlineStr">
        <is>
          <t>Jalen Royals</t>
        </is>
      </c>
      <c r="C94" s="42" t="inlineStr">
        <is>
          <t>KC</t>
        </is>
      </c>
      <c r="D94" s="42" t="inlineStr">
        <is>
          <t>DEN</t>
        </is>
      </c>
      <c r="E94" s="44" t="n">
        <v>5200</v>
      </c>
      <c r="F94" s="38" t="n"/>
      <c r="G94" s="54" t="n">
        <v>350</v>
      </c>
      <c r="H94" s="38" t="n"/>
      <c r="I94" s="45" t="n">
        <v>0.2222</v>
      </c>
      <c r="J94" s="45" t="n">
        <v>1.33</v>
      </c>
      <c r="K94" s="45" t="n">
        <v>3.8</v>
      </c>
      <c r="L94" s="40" t="n">
        <v>2.32</v>
      </c>
      <c r="M94" s="40" t="n">
        <v>0.45</v>
      </c>
      <c r="N94" s="41" t="n">
        <v>0</v>
      </c>
    </row>
    <row r="95">
      <c r="A95" s="35" t="n">
        <v>91</v>
      </c>
      <c r="B95" s="36" t="inlineStr">
        <is>
          <t>Jamari Thrash</t>
        </is>
      </c>
      <c r="C95" s="35" t="inlineStr">
        <is>
          <t>LV</t>
        </is>
      </c>
      <c r="D95" s="35" t="inlineStr">
        <is>
          <t>NYJ</t>
        </is>
      </c>
      <c r="E95" s="37" t="n">
        <v>4300</v>
      </c>
      <c r="F95" s="46" t="n"/>
      <c r="G95" s="54" t="n"/>
      <c r="H95" s="46" t="n"/>
      <c r="I95" s="39" t="n">
        <v>0.0667</v>
      </c>
      <c r="J95" s="39" t="n">
        <v>0</v>
      </c>
      <c r="K95" s="39" t="n">
        <v>0</v>
      </c>
      <c r="L95" s="40" t="n">
        <v>0</v>
      </c>
      <c r="M95" s="40" t="n">
        <v>0</v>
      </c>
      <c r="N95" s="41" t="n">
        <v>0.08</v>
      </c>
    </row>
    <row r="96">
      <c r="A96" s="35" t="n">
        <v>92</v>
      </c>
      <c r="B96" s="36" t="inlineStr">
        <is>
          <t>Reggie Virgil</t>
        </is>
      </c>
      <c r="C96" s="35" t="inlineStr">
        <is>
          <t>ARI</t>
        </is>
      </c>
      <c r="D96" s="35" t="inlineStr">
        <is>
          <t>DAL</t>
        </is>
      </c>
      <c r="E96" s="37" t="n">
        <v>4300</v>
      </c>
      <c r="F96" s="46" t="n"/>
      <c r="G96" s="54" t="n">
        <v>600</v>
      </c>
      <c r="H96" s="46" t="n"/>
      <c r="I96" s="39" t="n">
        <v>0.1429</v>
      </c>
      <c r="J96" s="39" t="n">
        <v>0.86</v>
      </c>
      <c r="K96" s="39" t="n">
        <v>3.3</v>
      </c>
      <c r="L96" s="40" t="n">
        <v>1.83</v>
      </c>
      <c r="M96" s="40" t="n">
        <v>0.43</v>
      </c>
      <c r="N96" s="41" t="n">
        <v>0</v>
      </c>
    </row>
    <row r="97">
      <c r="A97" s="35" t="n">
        <v>93</v>
      </c>
      <c r="B97" s="36" t="inlineStr">
        <is>
          <t>Jeshaun Jones</t>
        </is>
      </c>
      <c r="C97" s="35" t="inlineStr">
        <is>
          <t>MIN</t>
        </is>
      </c>
      <c r="D97" s="35" t="inlineStr">
        <is>
          <t>DET</t>
        </is>
      </c>
      <c r="E97" s="37" t="n">
        <v>4000</v>
      </c>
      <c r="F97" s="46" t="n"/>
      <c r="G97" s="47" t="n"/>
      <c r="H97" s="46" t="n"/>
      <c r="I97" s="49">
        <f>IF(OR(ISBLANK(G97), NOT(ISNUMBER(G97))), "", IF(G97 &lt; 0, -G97 / (-G97 + 100), 100 / (G97 + 100)))</f>
        <v/>
      </c>
      <c r="J97" s="39" t="n">
        <v>0</v>
      </c>
      <c r="K97" s="39" t="n">
        <v>0</v>
      </c>
      <c r="L97" s="40" t="n">
        <v>0</v>
      </c>
      <c r="M97" s="40" t="n">
        <v>0</v>
      </c>
      <c r="N97" s="41" t="n">
        <v>0.08</v>
      </c>
    </row>
    <row r="98">
      <c r="A98" s="35" t="n">
        <v>94</v>
      </c>
      <c r="B98" s="36" t="inlineStr">
        <is>
          <t>KaVontae Turpin</t>
        </is>
      </c>
      <c r="C98" s="35" t="inlineStr">
        <is>
          <t>DAL</t>
        </is>
      </c>
      <c r="D98" s="35" t="inlineStr">
        <is>
          <t>ARI</t>
        </is>
      </c>
      <c r="E98" s="37" t="n">
        <v>4700</v>
      </c>
      <c r="F98" s="46" t="n"/>
      <c r="G98" s="54" t="n">
        <v>550</v>
      </c>
      <c r="H98" s="46" t="n"/>
      <c r="I98" s="39" t="n">
        <v>0.1538</v>
      </c>
      <c r="J98" s="39" t="n">
        <v>0.92</v>
      </c>
      <c r="K98" s="39" t="n">
        <v>2.4</v>
      </c>
      <c r="L98" s="40" t="n">
        <v>1.51</v>
      </c>
      <c r="M98" s="40" t="n">
        <v>0.32</v>
      </c>
      <c r="N98" s="41" t="n">
        <v>0</v>
      </c>
    </row>
    <row r="99">
      <c r="A99" s="35" t="n">
        <v>95</v>
      </c>
      <c r="B99" s="36" t="inlineStr">
        <is>
          <t>Jalen Brooks</t>
        </is>
      </c>
      <c r="C99" s="35" t="inlineStr">
        <is>
          <t>ARI</t>
        </is>
      </c>
      <c r="D99" s="35" t="inlineStr">
        <is>
          <t>DAL</t>
        </is>
      </c>
      <c r="E99" s="37" t="n">
        <v>4700</v>
      </c>
      <c r="F99" s="46" t="n"/>
      <c r="G99" s="54" t="n"/>
      <c r="H99" s="46" t="n"/>
      <c r="I99" s="39" t="n">
        <v>0.0588</v>
      </c>
      <c r="J99" s="39" t="n">
        <v>0</v>
      </c>
      <c r="K99" s="39" t="n">
        <v>0</v>
      </c>
      <c r="L99" s="40" t="n">
        <v>0</v>
      </c>
      <c r="M99" s="40" t="n">
        <v>0</v>
      </c>
      <c r="N99" s="41" t="n">
        <v>0.08</v>
      </c>
    </row>
    <row r="100">
      <c r="A100" s="42" t="n">
        <v>96</v>
      </c>
      <c r="B100" s="43" t="inlineStr">
        <is>
          <t>Marvin Mims Jr.</t>
        </is>
      </c>
      <c r="C100" s="42" t="inlineStr">
        <is>
          <t>DEN</t>
        </is>
      </c>
      <c r="D100" s="42" t="inlineStr">
        <is>
          <t>KC</t>
        </is>
      </c>
      <c r="E100" s="44" t="n">
        <v>4500</v>
      </c>
      <c r="F100" s="46" t="n"/>
      <c r="G100" s="54" t="n">
        <v>500</v>
      </c>
      <c r="H100" s="46" t="n"/>
      <c r="I100" s="45" t="n">
        <v>0.1667</v>
      </c>
      <c r="J100" s="45" t="n">
        <v>1</v>
      </c>
      <c r="K100" s="45" t="n">
        <v>5.1</v>
      </c>
      <c r="L100" s="40" t="n">
        <v>2.64</v>
      </c>
      <c r="M100" s="40" t="n">
        <v>0.59</v>
      </c>
      <c r="N100" s="41" t="n">
        <v>0</v>
      </c>
    </row>
    <row r="101">
      <c r="A101" s="42" t="n">
        <v>97</v>
      </c>
      <c r="B101" s="43" t="inlineStr">
        <is>
          <t>Andrei Iosivas</t>
        </is>
      </c>
      <c r="C101" s="42" t="inlineStr">
        <is>
          <t>CIN</t>
        </is>
      </c>
      <c r="D101" s="42" t="inlineStr">
        <is>
          <t>TEN</t>
        </is>
      </c>
      <c r="E101" s="44" t="n">
        <v>4800</v>
      </c>
      <c r="F101" s="46" t="n"/>
      <c r="G101" s="54" t="n"/>
      <c r="H101" s="46" t="n"/>
      <c r="I101" s="45" t="n">
        <v>0.0625</v>
      </c>
      <c r="J101" s="45" t="n">
        <v>0</v>
      </c>
      <c r="K101" s="45" t="n">
        <v>0</v>
      </c>
      <c r="L101" s="40" t="n">
        <v>0</v>
      </c>
      <c r="M101" s="40" t="n">
        <v>0</v>
      </c>
      <c r="N101" s="41" t="n">
        <v>0.08</v>
      </c>
    </row>
    <row r="102">
      <c r="A102" s="35" t="n">
        <v>98</v>
      </c>
      <c r="B102" s="36" t="inlineStr">
        <is>
          <t>Brandon Smith</t>
        </is>
      </c>
      <c r="C102" s="35" t="inlineStr">
        <is>
          <t>PIT</t>
        </is>
      </c>
      <c r="D102" s="35" t="inlineStr">
        <is>
          <t>CLE</t>
        </is>
      </c>
      <c r="E102" s="37" t="n">
        <v>4000</v>
      </c>
      <c r="F102" s="46" t="n"/>
      <c r="G102" s="47" t="n"/>
      <c r="H102" s="46" t="n"/>
      <c r="I102" s="49">
        <f>IF(OR(ISBLANK(G102), NOT(ISNUMBER(G102))), "", IF(G102 &lt; 0, -G102 / (-G102 + 100), 100 / (G102 + 100)))</f>
        <v/>
      </c>
      <c r="J102" s="39" t="n">
        <v>0</v>
      </c>
      <c r="K102" s="39" t="n">
        <v>3.2</v>
      </c>
      <c r="L102" s="40" t="n">
        <v>3.2</v>
      </c>
      <c r="M102" s="40" t="n">
        <v>0.8</v>
      </c>
      <c r="N102" s="41" t="n">
        <v>0</v>
      </c>
    </row>
    <row r="103">
      <c r="A103" s="35" t="n">
        <v>99</v>
      </c>
      <c r="B103" s="36" t="inlineStr">
        <is>
          <t>Dont'e Thornton Jr.</t>
        </is>
      </c>
      <c r="C103" s="35" t="inlineStr">
        <is>
          <t>LV</t>
        </is>
      </c>
      <c r="D103" s="35" t="inlineStr">
        <is>
          <t>NYJ</t>
        </is>
      </c>
      <c r="E103" s="37" t="n">
        <v>4300</v>
      </c>
      <c r="F103" s="46" t="n"/>
      <c r="G103" s="54" t="n"/>
      <c r="H103" s="46" t="n"/>
      <c r="I103" s="39" t="n">
        <v>0.1</v>
      </c>
      <c r="J103" s="39" t="n">
        <v>0</v>
      </c>
      <c r="K103" s="39" t="n">
        <v>0</v>
      </c>
      <c r="L103" s="40" t="n">
        <v>0</v>
      </c>
      <c r="M103" s="40" t="n">
        <v>0</v>
      </c>
      <c r="N103" s="41" t="n">
        <v>0.08</v>
      </c>
    </row>
    <row r="104">
      <c r="A104" s="35" t="n">
        <v>100</v>
      </c>
      <c r="B104" s="36" t="inlineStr">
        <is>
          <t>Deion Burks</t>
        </is>
      </c>
      <c r="C104" s="35" t="inlineStr">
        <is>
          <t>IND</t>
        </is>
      </c>
      <c r="D104" s="35" t="inlineStr">
        <is>
          <t>JAC</t>
        </is>
      </c>
      <c r="E104" s="37" t="n">
        <v>4300</v>
      </c>
      <c r="F104" s="46" t="n"/>
      <c r="G104" s="54" t="n">
        <v>900</v>
      </c>
      <c r="H104" s="46" t="n"/>
      <c r="I104" s="39" t="n">
        <v>0.1</v>
      </c>
      <c r="J104" s="39" t="n">
        <v>0.6</v>
      </c>
      <c r="K104" s="39" t="n">
        <v>2.3</v>
      </c>
      <c r="L104" s="40" t="n">
        <v>1.28</v>
      </c>
      <c r="M104" s="40" t="n">
        <v>0.3</v>
      </c>
      <c r="N104" s="41" t="n">
        <v>0</v>
      </c>
    </row>
    <row r="105">
      <c r="A105" s="42" t="n">
        <v>101</v>
      </c>
      <c r="B105" s="43" t="inlineStr">
        <is>
          <t>Mecole Hardman Jr.</t>
        </is>
      </c>
      <c r="C105" s="42" t="inlineStr">
        <is>
          <t>IND</t>
        </is>
      </c>
      <c r="D105" s="42" t="inlineStr">
        <is>
          <t>JAC</t>
        </is>
      </c>
      <c r="E105" s="44" t="n">
        <v>4100</v>
      </c>
      <c r="F105" s="38" t="n"/>
      <c r="G105" s="54" t="n"/>
      <c r="H105" s="38" t="n"/>
      <c r="I105" s="45" t="n">
        <v>0.09089999999999999</v>
      </c>
      <c r="J105" s="45" t="n">
        <v>0</v>
      </c>
      <c r="K105" s="45" t="n">
        <v>0</v>
      </c>
      <c r="L105" s="40" t="n">
        <v>0</v>
      </c>
      <c r="M105" s="40" t="n">
        <v>0</v>
      </c>
      <c r="N105" s="41" t="n">
        <v>0.08</v>
      </c>
    </row>
    <row r="106">
      <c r="A106" s="42" t="n">
        <v>102</v>
      </c>
      <c r="B106" s="43" t="inlineStr">
        <is>
          <t>Troy Franklin</t>
        </is>
      </c>
      <c r="C106" s="42" t="inlineStr">
        <is>
          <t>DEN</t>
        </is>
      </c>
      <c r="D106" s="42" t="inlineStr">
        <is>
          <t>KC</t>
        </is>
      </c>
      <c r="E106" s="44" t="n">
        <v>4700</v>
      </c>
      <c r="F106" s="38" t="n"/>
      <c r="G106" s="54" t="n">
        <v>800</v>
      </c>
      <c r="H106" s="38" t="n"/>
      <c r="I106" s="45" t="n">
        <v>0.1111</v>
      </c>
      <c r="J106" s="45" t="n">
        <v>0.67</v>
      </c>
      <c r="K106" s="45" t="n">
        <v>3.4</v>
      </c>
      <c r="L106" s="40" t="n">
        <v>1.76</v>
      </c>
      <c r="M106" s="40" t="n">
        <v>0.37</v>
      </c>
      <c r="N106" s="41" t="n">
        <v>0</v>
      </c>
    </row>
    <row r="107">
      <c r="A107" s="35" t="n">
        <v>103</v>
      </c>
      <c r="B107" s="36" t="inlineStr">
        <is>
          <t>Myles Price</t>
        </is>
      </c>
      <c r="C107" s="35" t="inlineStr">
        <is>
          <t>MIN</t>
        </is>
      </c>
      <c r="D107" s="35" t="inlineStr">
        <is>
          <t>DET</t>
        </is>
      </c>
      <c r="E107" s="37" t="n">
        <v>4100</v>
      </c>
      <c r="F107" s="46" t="n"/>
      <c r="G107" s="54" t="n">
        <v>1800</v>
      </c>
      <c r="H107" s="46" t="n"/>
      <c r="I107" s="39" t="n">
        <v>0.0526</v>
      </c>
      <c r="J107" s="39" t="n">
        <v>0.32</v>
      </c>
      <c r="K107" s="39" t="n">
        <v>0</v>
      </c>
      <c r="L107" s="40" t="n">
        <v>0.32</v>
      </c>
      <c r="M107" s="40" t="n">
        <v>0.08</v>
      </c>
      <c r="N107" s="41" t="n">
        <v>0</v>
      </c>
    </row>
    <row r="108">
      <c r="A108" s="42" t="n">
        <v>104</v>
      </c>
      <c r="B108" s="43" t="inlineStr">
        <is>
          <t>Dylan Drummond</t>
        </is>
      </c>
      <c r="C108" s="42" t="inlineStr">
        <is>
          <t>ATL</t>
        </is>
      </c>
      <c r="D108" s="42" t="inlineStr">
        <is>
          <t>TB</t>
        </is>
      </c>
      <c r="E108" s="44" t="n">
        <v>4000</v>
      </c>
      <c r="F108" s="46" t="n"/>
      <c r="G108" s="54" t="n"/>
      <c r="H108" s="46" t="n"/>
      <c r="I108" s="45" t="n">
        <v>0.05</v>
      </c>
      <c r="J108" s="45" t="n">
        <v>0</v>
      </c>
      <c r="K108" s="45" t="n">
        <v>0</v>
      </c>
      <c r="L108" s="40" t="n">
        <v>0</v>
      </c>
      <c r="M108" s="40" t="n">
        <v>0</v>
      </c>
      <c r="N108" s="41" t="n">
        <v>0.08</v>
      </c>
    </row>
    <row r="109">
      <c r="A109" s="35" t="n">
        <v>105</v>
      </c>
      <c r="B109" s="36" t="inlineStr">
        <is>
          <t>Zachariah Branch</t>
        </is>
      </c>
      <c r="C109" s="35" t="inlineStr">
        <is>
          <t>ATL</t>
        </is>
      </c>
      <c r="D109" s="35" t="inlineStr">
        <is>
          <t>TB</t>
        </is>
      </c>
      <c r="E109" s="37" t="n">
        <v>4900</v>
      </c>
      <c r="F109" s="46" t="n"/>
      <c r="G109" s="54" t="n">
        <v>700</v>
      </c>
      <c r="H109" s="46" t="n"/>
      <c r="I109" s="39" t="n">
        <v>0.125</v>
      </c>
      <c r="J109" s="39" t="n">
        <v>0.75</v>
      </c>
      <c r="K109" s="39" t="n">
        <v>2.8</v>
      </c>
      <c r="L109" s="40" t="n">
        <v>1.57</v>
      </c>
      <c r="M109" s="40" t="n">
        <v>0.32</v>
      </c>
      <c r="N109" s="41" t="n">
        <v>0</v>
      </c>
    </row>
    <row r="110">
      <c r="A110" s="35" t="n">
        <v>106</v>
      </c>
      <c r="B110" s="36" t="inlineStr">
        <is>
          <t>Tai Felton</t>
        </is>
      </c>
      <c r="C110" s="35" t="inlineStr">
        <is>
          <t>MIN</t>
        </is>
      </c>
      <c r="D110" s="35" t="inlineStr">
        <is>
          <t>DET</t>
        </is>
      </c>
      <c r="E110" s="37" t="n">
        <v>4200</v>
      </c>
      <c r="F110" s="46" t="n"/>
      <c r="G110" s="54" t="n">
        <v>1400</v>
      </c>
      <c r="H110" s="46" t="n"/>
      <c r="I110" s="39" t="n">
        <v>0.0667</v>
      </c>
      <c r="J110" s="39" t="n">
        <v>0.4</v>
      </c>
      <c r="K110" s="39" t="n">
        <v>0</v>
      </c>
      <c r="L110" s="40" t="n">
        <v>0.4</v>
      </c>
      <c r="M110" s="40" t="n">
        <v>0.1</v>
      </c>
      <c r="N110" s="41" t="n">
        <v>0</v>
      </c>
    </row>
    <row r="111">
      <c r="A111" s="42" t="n">
        <v>107</v>
      </c>
      <c r="B111" s="43" t="inlineStr">
        <is>
          <t>Sterling Shepard</t>
        </is>
      </c>
      <c r="C111" s="42" t="inlineStr">
        <is>
          <t>NYJ</t>
        </is>
      </c>
      <c r="D111" s="42" t="inlineStr">
        <is>
          <t>LV</t>
        </is>
      </c>
      <c r="E111" s="44" t="n">
        <v>4300</v>
      </c>
      <c r="F111" s="46" t="n"/>
      <c r="G111" s="54" t="n"/>
      <c r="H111" s="46" t="n"/>
      <c r="I111" s="45" t="n">
        <v>0.125</v>
      </c>
      <c r="J111" s="45" t="n">
        <v>0</v>
      </c>
      <c r="K111" s="45" t="n">
        <v>0</v>
      </c>
      <c r="L111" s="40" t="n">
        <v>0</v>
      </c>
      <c r="M111" s="40" t="n">
        <v>0</v>
      </c>
      <c r="N111" s="41" t="n">
        <v>0.08</v>
      </c>
    </row>
    <row r="112">
      <c r="A112" s="42" t="n">
        <v>108</v>
      </c>
      <c r="B112" s="43" t="inlineStr">
        <is>
          <t>Deven Thompkins</t>
        </is>
      </c>
      <c r="C112" s="42" t="inlineStr">
        <is>
          <t>LV</t>
        </is>
      </c>
      <c r="D112" s="42" t="inlineStr">
        <is>
          <t>NYJ</t>
        </is>
      </c>
      <c r="E112" s="44" t="n">
        <v>4000</v>
      </c>
      <c r="F112" s="46" t="n"/>
      <c r="G112" s="54" t="n"/>
      <c r="H112" s="46" t="n"/>
      <c r="I112" s="45" t="n">
        <v>0.0476</v>
      </c>
      <c r="J112" s="45" t="n">
        <v>0</v>
      </c>
      <c r="K112" s="45" t="n">
        <v>0</v>
      </c>
      <c r="L112" s="40" t="n">
        <v>0</v>
      </c>
      <c r="M112" s="40" t="n">
        <v>0</v>
      </c>
      <c r="N112" s="41" t="n">
        <v>0.08</v>
      </c>
    </row>
    <row r="113">
      <c r="A113" s="35" t="n">
        <v>109</v>
      </c>
      <c r="B113" s="36" t="inlineStr">
        <is>
          <t>Jackson Meeks</t>
        </is>
      </c>
      <c r="C113" s="35" t="inlineStr">
        <is>
          <t>DET</t>
        </is>
      </c>
      <c r="D113" s="35" t="inlineStr">
        <is>
          <t>MIN</t>
        </is>
      </c>
      <c r="E113" s="37" t="n">
        <v>4300</v>
      </c>
      <c r="F113" s="46" t="n"/>
      <c r="G113" s="54" t="n">
        <v>2200</v>
      </c>
      <c r="H113" s="46" t="n"/>
      <c r="I113" s="39" t="n">
        <v>0.0435</v>
      </c>
      <c r="J113" s="39" t="n">
        <v>0.26</v>
      </c>
      <c r="K113" s="39" t="n">
        <v>0</v>
      </c>
      <c r="L113" s="40" t="n">
        <v>0.26</v>
      </c>
      <c r="M113" s="40" t="n">
        <v>0.06</v>
      </c>
      <c r="N113" s="41" t="n">
        <v>0</v>
      </c>
    </row>
    <row r="114">
      <c r="A114" s="35" t="n">
        <v>110</v>
      </c>
      <c r="B114" s="36" t="inlineStr">
        <is>
          <t>Andrew Armstrong</t>
        </is>
      </c>
      <c r="C114" s="35" t="inlineStr">
        <is>
          <t>KC</t>
        </is>
      </c>
      <c r="D114" s="35" t="inlineStr">
        <is>
          <t>DEN</t>
        </is>
      </c>
      <c r="E114" s="37" t="n">
        <v>4000</v>
      </c>
      <c r="F114" s="46" t="n"/>
      <c r="G114" s="54" t="n">
        <v>800</v>
      </c>
      <c r="H114" s="46" t="n"/>
      <c r="I114" s="39" t="n">
        <v>0.1111</v>
      </c>
      <c r="J114" s="39" t="n">
        <v>0.67</v>
      </c>
      <c r="K114" s="39" t="n">
        <v>1.7</v>
      </c>
      <c r="L114" s="40" t="n">
        <v>1.08</v>
      </c>
      <c r="M114" s="40" t="n">
        <v>0.27</v>
      </c>
      <c r="N114" s="41" t="n">
        <v>0</v>
      </c>
    </row>
    <row r="115">
      <c r="A115" s="35" t="n">
        <v>111</v>
      </c>
      <c r="B115" s="36" t="inlineStr">
        <is>
          <t>Jauan Jennings</t>
        </is>
      </c>
      <c r="C115" s="35" t="inlineStr">
        <is>
          <t>MIN</t>
        </is>
      </c>
      <c r="D115" s="35" t="inlineStr">
        <is>
          <t>DET</t>
        </is>
      </c>
      <c r="E115" s="37" t="n">
        <v>5200</v>
      </c>
      <c r="F115" s="38" t="n"/>
      <c r="G115" s="54" t="n">
        <v>650</v>
      </c>
      <c r="H115" s="38" t="n"/>
      <c r="I115" s="39" t="n">
        <v>0.1333</v>
      </c>
      <c r="J115" s="39" t="n">
        <v>0.8</v>
      </c>
      <c r="K115" s="39" t="n">
        <v>2.8</v>
      </c>
      <c r="L115" s="40" t="n">
        <v>1.6</v>
      </c>
      <c r="M115" s="40" t="n">
        <v>0.31</v>
      </c>
      <c r="N115" s="41" t="n">
        <v>0</v>
      </c>
    </row>
    <row r="116">
      <c r="A116" s="42" t="n">
        <v>112</v>
      </c>
      <c r="B116" s="43" t="inlineStr">
        <is>
          <t>Justin Watson</t>
        </is>
      </c>
      <c r="C116" s="42" t="inlineStr">
        <is>
          <t>KC</t>
        </is>
      </c>
      <c r="D116" s="42" t="inlineStr">
        <is>
          <t>DEN</t>
        </is>
      </c>
      <c r="E116" s="44" t="n">
        <v>4100</v>
      </c>
      <c r="F116" s="46" t="n"/>
      <c r="G116" s="54" t="n"/>
      <c r="H116" s="46" t="n"/>
      <c r="I116" s="45" t="n">
        <v>0.0476</v>
      </c>
      <c r="J116" s="45" t="n">
        <v>0</v>
      </c>
      <c r="K116" s="45" t="n">
        <v>0</v>
      </c>
      <c r="L116" s="40" t="n">
        <v>0</v>
      </c>
      <c r="M116" s="40" t="n">
        <v>0</v>
      </c>
      <c r="N116" s="41" t="n">
        <v>0.08</v>
      </c>
    </row>
    <row r="117">
      <c r="A117" s="42" t="n">
        <v>113</v>
      </c>
      <c r="B117" s="43" t="inlineStr">
        <is>
          <t>Cyrus Allen</t>
        </is>
      </c>
      <c r="C117" s="42" t="inlineStr">
        <is>
          <t>KC</t>
        </is>
      </c>
      <c r="D117" s="42" t="inlineStr">
        <is>
          <t>DEN</t>
        </is>
      </c>
      <c r="E117" s="44" t="n">
        <v>5000</v>
      </c>
      <c r="F117" s="46" t="n"/>
      <c r="G117" s="54" t="n">
        <v>800</v>
      </c>
      <c r="H117" s="46" t="n"/>
      <c r="I117" s="45" t="n">
        <v>0.1111</v>
      </c>
      <c r="J117" s="45" t="n">
        <v>0.67</v>
      </c>
      <c r="K117" s="45" t="n">
        <v>0</v>
      </c>
      <c r="L117" s="40" t="n">
        <v>0.67</v>
      </c>
      <c r="M117" s="40" t="n">
        <v>0.13</v>
      </c>
      <c r="N117" s="41" t="n">
        <v>0</v>
      </c>
    </row>
    <row r="118">
      <c r="A118" s="42" t="n">
        <v>114</v>
      </c>
      <c r="B118" s="43" t="inlineStr">
        <is>
          <t>Beaux Collins</t>
        </is>
      </c>
      <c r="C118" s="42" t="inlineStr">
        <is>
          <t>ATL</t>
        </is>
      </c>
      <c r="D118" s="42" t="inlineStr">
        <is>
          <t>TB</t>
        </is>
      </c>
      <c r="E118" s="44" t="n">
        <v>4000</v>
      </c>
      <c r="F118" s="46" t="n"/>
      <c r="G118" s="54" t="n"/>
      <c r="H118" s="46" t="n"/>
      <c r="I118" s="45" t="n">
        <v>0.0625</v>
      </c>
      <c r="J118" s="45" t="n">
        <v>0</v>
      </c>
      <c r="K118" s="45" t="n">
        <v>0</v>
      </c>
      <c r="L118" s="40" t="n">
        <v>0</v>
      </c>
      <c r="M118" s="40" t="n">
        <v>0</v>
      </c>
      <c r="N118" s="41" t="n">
        <v>0.08</v>
      </c>
    </row>
    <row r="119">
      <c r="A119" s="35" t="n">
        <v>115</v>
      </c>
      <c r="B119" s="36" t="inlineStr">
        <is>
          <t>Tutu Atwell</t>
        </is>
      </c>
      <c r="C119" s="35" t="inlineStr">
        <is>
          <t>LAR</t>
        </is>
      </c>
      <c r="D119" s="35" t="inlineStr">
        <is>
          <t>LAC</t>
        </is>
      </c>
      <c r="E119" s="37" t="n">
        <v>4300</v>
      </c>
      <c r="F119" s="46" t="n"/>
      <c r="G119" s="54" t="n">
        <v>500</v>
      </c>
      <c r="H119" s="46" t="n"/>
      <c r="I119" s="39" t="n">
        <v>0.1667</v>
      </c>
      <c r="J119" s="39" t="n">
        <v>1</v>
      </c>
      <c r="K119" s="39" t="n">
        <v>2.5</v>
      </c>
      <c r="L119" s="40" t="n">
        <v>1.6</v>
      </c>
      <c r="M119" s="40" t="n">
        <v>0.37</v>
      </c>
      <c r="N119" s="41" t="n">
        <v>0</v>
      </c>
    </row>
    <row r="120">
      <c r="A120" s="42" t="n">
        <v>116</v>
      </c>
      <c r="B120" s="43" t="inlineStr">
        <is>
          <t>Ashton Dulin</t>
        </is>
      </c>
      <c r="C120" s="42" t="inlineStr">
        <is>
          <t>IND</t>
        </is>
      </c>
      <c r="D120" s="42" t="inlineStr">
        <is>
          <t>JAC</t>
        </is>
      </c>
      <c r="E120" s="44" t="n">
        <v>4400</v>
      </c>
      <c r="F120" s="38" t="n"/>
      <c r="G120" s="54" t="n">
        <v>900</v>
      </c>
      <c r="H120" s="38" t="n"/>
      <c r="I120" s="45" t="n">
        <v>0.1</v>
      </c>
      <c r="J120" s="45" t="n">
        <v>0.6</v>
      </c>
      <c r="K120" s="45" t="n">
        <v>0</v>
      </c>
      <c r="L120" s="40" t="n">
        <v>0.6</v>
      </c>
      <c r="M120" s="40" t="n">
        <v>0.14</v>
      </c>
      <c r="N120" s="41" t="n">
        <v>0</v>
      </c>
    </row>
    <row r="121">
      <c r="A121" s="35" t="n">
        <v>117</v>
      </c>
      <c r="B121" s="36" t="inlineStr">
        <is>
          <t>Marquez Valdes-Scantling</t>
        </is>
      </c>
      <c r="C121" s="35" t="inlineStr">
        <is>
          <t>PIT</t>
        </is>
      </c>
      <c r="D121" s="35" t="inlineStr">
        <is>
          <t>CLE</t>
        </is>
      </c>
      <c r="E121" s="37" t="n">
        <v>4200</v>
      </c>
      <c r="F121" s="46" t="n"/>
      <c r="G121" s="54" t="n"/>
      <c r="H121" s="46" t="n"/>
      <c r="I121" s="39" t="n">
        <v>0.0435</v>
      </c>
      <c r="J121" s="39" t="n">
        <v>0</v>
      </c>
      <c r="K121" s="39" t="n">
        <v>0</v>
      </c>
      <c r="L121" s="40" t="n">
        <v>0</v>
      </c>
      <c r="M121" s="40" t="n">
        <v>0</v>
      </c>
      <c r="N121" s="41" t="n">
        <v>0.08</v>
      </c>
    </row>
    <row r="122">
      <c r="A122" s="35" t="n">
        <v>118</v>
      </c>
      <c r="B122" s="36" t="inlineStr">
        <is>
          <t>Austin Trammell</t>
        </is>
      </c>
      <c r="C122" s="35" t="inlineStr">
        <is>
          <t>JAC</t>
        </is>
      </c>
      <c r="D122" s="35" t="inlineStr">
        <is>
          <t>IND</t>
        </is>
      </c>
      <c r="E122" s="37" t="n">
        <v>4000</v>
      </c>
      <c r="F122" s="38" t="n"/>
      <c r="G122" s="54" t="n"/>
      <c r="H122" s="38" t="n"/>
      <c r="I122" s="39" t="n">
        <v>0.0588</v>
      </c>
      <c r="J122" s="39" t="n">
        <v>0</v>
      </c>
      <c r="K122" s="39" t="n">
        <v>0</v>
      </c>
      <c r="L122" s="40" t="n">
        <v>0</v>
      </c>
      <c r="M122" s="40" t="n">
        <v>0</v>
      </c>
      <c r="N122" s="41" t="n">
        <v>0.08</v>
      </c>
    </row>
    <row r="123">
      <c r="A123" s="42" t="n">
        <v>119</v>
      </c>
      <c r="B123" s="43" t="inlineStr">
        <is>
          <t>Tim Jones</t>
        </is>
      </c>
      <c r="C123" s="42" t="inlineStr">
        <is>
          <t>JAC</t>
        </is>
      </c>
      <c r="D123" s="42" t="inlineStr">
        <is>
          <t>IND</t>
        </is>
      </c>
      <c r="E123" s="44" t="n">
        <v>4000</v>
      </c>
      <c r="F123" s="46" t="n"/>
      <c r="G123" s="54" t="n"/>
      <c r="H123" s="46" t="n"/>
      <c r="I123" s="45" t="n">
        <v>0.0625</v>
      </c>
      <c r="J123" s="45" t="n">
        <v>0</v>
      </c>
      <c r="K123" s="45" t="n">
        <v>0</v>
      </c>
      <c r="L123" s="40" t="n">
        <v>0</v>
      </c>
      <c r="M123" s="40" t="n">
        <v>0</v>
      </c>
      <c r="N123" s="41" t="n">
        <v>0.08</v>
      </c>
    </row>
    <row r="124">
      <c r="A124" s="35" t="n">
        <v>120</v>
      </c>
      <c r="B124" s="36" t="inlineStr">
        <is>
          <t>Colbie Young</t>
        </is>
      </c>
      <c r="C124" s="35" t="inlineStr">
        <is>
          <t>CIN</t>
        </is>
      </c>
      <c r="D124" s="35" t="inlineStr">
        <is>
          <t>TEN</t>
        </is>
      </c>
      <c r="E124" s="37" t="n">
        <v>4200</v>
      </c>
      <c r="F124" s="46" t="n"/>
      <c r="G124" s="54" t="n">
        <v>750</v>
      </c>
      <c r="H124" s="46" t="n"/>
      <c r="I124" s="39" t="n">
        <v>0.1176</v>
      </c>
      <c r="J124" s="39" t="n">
        <v>0.71</v>
      </c>
      <c r="K124" s="39" t="n">
        <v>0</v>
      </c>
      <c r="L124" s="40" t="n">
        <v>0.71</v>
      </c>
      <c r="M124" s="40" t="n">
        <v>0.17</v>
      </c>
      <c r="N124" s="41" t="n">
        <v>0</v>
      </c>
    </row>
    <row r="125">
      <c r="A125" s="35" t="n">
        <v>121</v>
      </c>
      <c r="B125" s="36" t="inlineStr">
        <is>
          <t>LaJohntay Wester</t>
        </is>
      </c>
      <c r="C125" s="35" t="inlineStr">
        <is>
          <t>BAL</t>
        </is>
      </c>
      <c r="D125" s="35" t="inlineStr">
        <is>
          <t>BUF</t>
        </is>
      </c>
      <c r="E125" s="37" t="n">
        <v>4300</v>
      </c>
      <c r="F125" s="46" t="n"/>
      <c r="G125" s="54" t="n">
        <v>1400</v>
      </c>
      <c r="H125" s="46" t="n"/>
      <c r="I125" s="39" t="n">
        <v>0.0667</v>
      </c>
      <c r="J125" s="39" t="n">
        <v>0.4</v>
      </c>
      <c r="K125" s="39" t="n">
        <v>0</v>
      </c>
      <c r="L125" s="40" t="n">
        <v>0.4</v>
      </c>
      <c r="M125" s="40" t="n">
        <v>0.09</v>
      </c>
      <c r="N125" s="41" t="n">
        <v>0</v>
      </c>
    </row>
    <row r="126">
      <c r="A126" s="35" t="n">
        <v>122</v>
      </c>
      <c r="B126" s="36" t="inlineStr">
        <is>
          <t>Jalen Tolbert</t>
        </is>
      </c>
      <c r="C126" s="35" t="inlineStr">
        <is>
          <t>MIA</t>
        </is>
      </c>
      <c r="D126" s="35" t="inlineStr">
        <is>
          <t>NE</t>
        </is>
      </c>
      <c r="E126" s="37" t="n">
        <v>4300</v>
      </c>
      <c r="F126" s="38" t="n"/>
      <c r="G126" s="54" t="n">
        <v>1700</v>
      </c>
      <c r="H126" s="38" t="n"/>
      <c r="I126" s="39" t="n">
        <v>0.0556</v>
      </c>
      <c r="J126" s="39" t="n">
        <v>0.33</v>
      </c>
      <c r="K126" s="39" t="n">
        <v>0</v>
      </c>
      <c r="L126" s="40" t="n">
        <v>0.33</v>
      </c>
      <c r="M126" s="40" t="n">
        <v>0.08</v>
      </c>
      <c r="N126" s="41" t="n">
        <v>0</v>
      </c>
    </row>
    <row r="127">
      <c r="A127" s="35" t="n">
        <v>123</v>
      </c>
      <c r="B127" s="36" t="inlineStr">
        <is>
          <t>Elijah Sarratt</t>
        </is>
      </c>
      <c r="C127" s="35" t="inlineStr">
        <is>
          <t>BAL</t>
        </is>
      </c>
      <c r="D127" s="35" t="inlineStr">
        <is>
          <t>BUF</t>
        </is>
      </c>
      <c r="E127" s="37" t="n">
        <v>4300</v>
      </c>
      <c r="F127" s="38" t="n"/>
      <c r="G127" s="54" t="n">
        <v>1400</v>
      </c>
      <c r="H127" s="38" t="n"/>
      <c r="I127" s="39" t="n">
        <v>0.0667</v>
      </c>
      <c r="J127" s="39" t="n">
        <v>0.4</v>
      </c>
      <c r="K127" s="39" t="n">
        <v>0</v>
      </c>
      <c r="L127" s="40" t="n">
        <v>0.4</v>
      </c>
      <c r="M127" s="40" t="n">
        <v>0.09</v>
      </c>
      <c r="N127" s="41" t="n">
        <v>0</v>
      </c>
    </row>
    <row r="128">
      <c r="A128" s="35" t="n">
        <v>124</v>
      </c>
      <c r="B128" s="36" t="inlineStr">
        <is>
          <t>Brenen Thompson</t>
        </is>
      </c>
      <c r="C128" s="35" t="inlineStr">
        <is>
          <t>LAC</t>
        </is>
      </c>
      <c r="D128" s="35" t="inlineStr">
        <is>
          <t>LAR</t>
        </is>
      </c>
      <c r="E128" s="37" t="n">
        <v>4100</v>
      </c>
      <c r="F128" s="38" t="n"/>
      <c r="G128" s="54" t="n">
        <v>750</v>
      </c>
      <c r="H128" s="38" t="n"/>
      <c r="I128" s="39" t="n">
        <v>0.1176</v>
      </c>
      <c r="J128" s="39" t="n">
        <v>0.71</v>
      </c>
      <c r="K128" s="39" t="n">
        <v>0</v>
      </c>
      <c r="L128" s="40" t="n">
        <v>0.71</v>
      </c>
      <c r="M128" s="40" t="n">
        <v>0.17</v>
      </c>
      <c r="N128" s="41" t="n">
        <v>0</v>
      </c>
    </row>
    <row r="129">
      <c r="A129" s="35" t="n">
        <v>125</v>
      </c>
      <c r="B129" s="36" t="inlineStr">
        <is>
          <t>Tylan Wallace</t>
        </is>
      </c>
      <c r="C129" s="35" t="inlineStr">
        <is>
          <t>CLE</t>
        </is>
      </c>
      <c r="D129" s="35" t="inlineStr">
        <is>
          <t>PIT</t>
        </is>
      </c>
      <c r="E129" s="37" t="n">
        <v>4200</v>
      </c>
      <c r="F129" s="46" t="n"/>
      <c r="G129" s="54" t="n">
        <v>3400</v>
      </c>
      <c r="H129" s="46" t="n"/>
      <c r="I129" s="39" t="n">
        <v>0.0286</v>
      </c>
      <c r="J129" s="39" t="n">
        <v>0.17</v>
      </c>
      <c r="K129" s="39" t="n">
        <v>0</v>
      </c>
      <c r="L129" s="40" t="n">
        <v>0.17</v>
      </c>
      <c r="M129" s="40" t="n">
        <v>0.04</v>
      </c>
      <c r="N129" s="41" t="n">
        <v>0</v>
      </c>
    </row>
    <row r="130">
      <c r="A130" s="35" t="n">
        <v>126</v>
      </c>
      <c r="B130" s="36" t="inlineStr">
        <is>
          <t>Jonathan Mingo</t>
        </is>
      </c>
      <c r="C130" s="35" t="inlineStr">
        <is>
          <t>DAL</t>
        </is>
      </c>
      <c r="D130" s="35" t="inlineStr">
        <is>
          <t>ARI</t>
        </is>
      </c>
      <c r="E130" s="37" t="n">
        <v>4100</v>
      </c>
      <c r="F130" s="46" t="n"/>
      <c r="G130" s="54" t="n">
        <v>700</v>
      </c>
      <c r="H130" s="46" t="n"/>
      <c r="I130" s="39" t="n">
        <v>0.125</v>
      </c>
      <c r="J130" s="39" t="n">
        <v>0.75</v>
      </c>
      <c r="K130" s="39" t="n">
        <v>0</v>
      </c>
      <c r="L130" s="40" t="n">
        <v>0.75</v>
      </c>
      <c r="M130" s="40" t="n">
        <v>0.18</v>
      </c>
      <c r="N130" s="41" t="n">
        <v>0</v>
      </c>
    </row>
    <row r="131">
      <c r="A131" s="42" t="n">
        <v>127</v>
      </c>
      <c r="B131" s="43" t="inlineStr">
        <is>
          <t>Gage Larvadain</t>
        </is>
      </c>
      <c r="C131" s="42" t="inlineStr">
        <is>
          <t>BAL</t>
        </is>
      </c>
      <c r="D131" s="42" t="inlineStr">
        <is>
          <t>BUF</t>
        </is>
      </c>
      <c r="E131" s="44" t="n">
        <v>4000</v>
      </c>
      <c r="F131" s="46" t="n"/>
      <c r="G131" s="54" t="n"/>
      <c r="H131" s="46" t="n"/>
      <c r="I131" s="45" t="n">
        <v>0.0625</v>
      </c>
      <c r="J131" s="45" t="n">
        <v>0</v>
      </c>
      <c r="K131" s="45" t="n">
        <v>0</v>
      </c>
      <c r="L131" s="40" t="n">
        <v>0</v>
      </c>
      <c r="M131" s="40" t="n">
        <v>0</v>
      </c>
      <c r="N131" s="41" t="n">
        <v>0.08</v>
      </c>
    </row>
    <row r="132">
      <c r="A132" s="42" t="n">
        <v>128</v>
      </c>
      <c r="B132" s="43" t="inlineStr">
        <is>
          <t>Dareke Young</t>
        </is>
      </c>
      <c r="C132" s="42" t="inlineStr">
        <is>
          <t>LV</t>
        </is>
      </c>
      <c r="D132" s="42" t="inlineStr">
        <is>
          <t>NYJ</t>
        </is>
      </c>
      <c r="E132" s="44" t="n">
        <v>4200</v>
      </c>
      <c r="F132" s="46" t="n"/>
      <c r="G132" s="54" t="n">
        <v>1400</v>
      </c>
      <c r="H132" s="46" t="n"/>
      <c r="I132" s="45" t="n">
        <v>0.0667</v>
      </c>
      <c r="J132" s="45" t="n">
        <v>0.4</v>
      </c>
      <c r="K132" s="45" t="n">
        <v>0</v>
      </c>
      <c r="L132" s="40" t="n">
        <v>0.4</v>
      </c>
      <c r="M132" s="40" t="n">
        <v>0.1</v>
      </c>
      <c r="N132" s="41" t="n">
        <v>0</v>
      </c>
    </row>
    <row r="133">
      <c r="A133" s="35" t="n">
        <v>129</v>
      </c>
      <c r="B133" s="36" t="inlineStr">
        <is>
          <t>Olamide Zaccheaus</t>
        </is>
      </c>
      <c r="C133" s="35" t="inlineStr">
        <is>
          <t>ATL</t>
        </is>
      </c>
      <c r="D133" s="35" t="inlineStr">
        <is>
          <t>TB</t>
        </is>
      </c>
      <c r="E133" s="37" t="n">
        <v>5000</v>
      </c>
      <c r="F133" s="46" t="n"/>
      <c r="G133" s="54" t="n">
        <v>600</v>
      </c>
      <c r="H133" s="46" t="n"/>
      <c r="I133" s="39" t="n">
        <v>0.1429</v>
      </c>
      <c r="J133" s="39" t="n">
        <v>0.86</v>
      </c>
      <c r="K133" s="39" t="n">
        <v>3</v>
      </c>
      <c r="L133" s="40" t="n">
        <v>1.71</v>
      </c>
      <c r="M133" s="40" t="n">
        <v>0.34</v>
      </c>
      <c r="N133" s="41" t="n">
        <v>0</v>
      </c>
    </row>
    <row r="134">
      <c r="A134" s="35" t="n">
        <v>130</v>
      </c>
      <c r="B134" s="36" t="inlineStr">
        <is>
          <t>Chimere Dike</t>
        </is>
      </c>
      <c r="C134" s="35" t="inlineStr">
        <is>
          <t>TEN</t>
        </is>
      </c>
      <c r="D134" s="35" t="inlineStr">
        <is>
          <t>CIN</t>
        </is>
      </c>
      <c r="E134" s="37" t="n">
        <v>4200</v>
      </c>
      <c r="F134" s="46" t="n"/>
      <c r="G134" s="54" t="n">
        <v>900</v>
      </c>
      <c r="H134" s="46" t="n"/>
      <c r="I134" s="39" t="n">
        <v>0.1</v>
      </c>
      <c r="J134" s="39" t="n">
        <v>0.6</v>
      </c>
      <c r="K134" s="39" t="n">
        <v>0</v>
      </c>
      <c r="L134" s="40" t="n">
        <v>0.6</v>
      </c>
      <c r="M134" s="40" t="n">
        <v>0.14</v>
      </c>
      <c r="N134" s="41" t="n">
        <v>0</v>
      </c>
    </row>
    <row r="135">
      <c r="A135" s="42" t="n">
        <v>131</v>
      </c>
      <c r="B135" s="43" t="inlineStr">
        <is>
          <t>Lil'Jordan Humphrey</t>
        </is>
      </c>
      <c r="C135" s="42" t="inlineStr">
        <is>
          <t>DEN</t>
        </is>
      </c>
      <c r="D135" s="42" t="inlineStr">
        <is>
          <t>KC</t>
        </is>
      </c>
      <c r="E135" s="44" t="n">
        <v>4300</v>
      </c>
      <c r="F135" s="46" t="n"/>
      <c r="G135" s="54" t="n">
        <v>1400</v>
      </c>
      <c r="H135" s="46" t="n"/>
      <c r="I135" s="45" t="n">
        <v>0.0667</v>
      </c>
      <c r="J135" s="45" t="n">
        <v>0.4</v>
      </c>
      <c r="K135" s="45" t="n">
        <v>0</v>
      </c>
      <c r="L135" s="40" t="n">
        <v>0.4</v>
      </c>
      <c r="M135" s="40" t="n">
        <v>0.09</v>
      </c>
      <c r="N135" s="41" t="n">
        <v>0</v>
      </c>
    </row>
    <row r="136">
      <c r="A136" s="35" t="n">
        <v>132</v>
      </c>
      <c r="B136" s="36" t="inlineStr">
        <is>
          <t>Chris Blair</t>
        </is>
      </c>
      <c r="C136" s="35" t="inlineStr">
        <is>
          <t>ATL</t>
        </is>
      </c>
      <c r="D136" s="35" t="inlineStr">
        <is>
          <t>TB</t>
        </is>
      </c>
      <c r="E136" s="37" t="n">
        <v>4300</v>
      </c>
      <c r="F136" s="46" t="n"/>
      <c r="G136" s="54" t="n">
        <v>2400</v>
      </c>
      <c r="H136" s="46" t="n"/>
      <c r="I136" s="39" t="n">
        <v>0.04</v>
      </c>
      <c r="J136" s="39" t="n">
        <v>0.24</v>
      </c>
      <c r="K136" s="39" t="n">
        <v>0</v>
      </c>
      <c r="L136" s="40" t="n">
        <v>0.24</v>
      </c>
      <c r="M136" s="40" t="n">
        <v>0.06</v>
      </c>
      <c r="N136" s="41" t="n">
        <v>0</v>
      </c>
    </row>
    <row r="137">
      <c r="A137" s="35" t="n">
        <v>133</v>
      </c>
      <c r="B137" s="36" t="inlineStr">
        <is>
          <t>Jordan Whittington</t>
        </is>
      </c>
      <c r="C137" s="35" t="inlineStr">
        <is>
          <t>LAR</t>
        </is>
      </c>
      <c r="D137" s="35" t="inlineStr">
        <is>
          <t>LAC</t>
        </is>
      </c>
      <c r="E137" s="37" t="n">
        <v>4200</v>
      </c>
      <c r="F137" s="46" t="n"/>
      <c r="G137" s="54" t="n">
        <v>600</v>
      </c>
      <c r="H137" s="46" t="n"/>
      <c r="I137" s="39" t="n">
        <v>0.1429</v>
      </c>
      <c r="J137" s="39" t="n">
        <v>0.86</v>
      </c>
      <c r="K137" s="39" t="n">
        <v>1.6</v>
      </c>
      <c r="L137" s="40" t="n">
        <v>1.15</v>
      </c>
      <c r="M137" s="40" t="n">
        <v>0.27</v>
      </c>
      <c r="N137" s="41" t="n">
        <v>0</v>
      </c>
    </row>
    <row r="138">
      <c r="A138" s="50" t="n">
        <v>134</v>
      </c>
      <c r="B138" s="51" t="inlineStr">
        <is>
          <t>Malik Benson</t>
        </is>
      </c>
      <c r="C138" s="50" t="inlineStr">
        <is>
          <t>LV</t>
        </is>
      </c>
      <c r="D138" s="50" t="inlineStr">
        <is>
          <t>NYJ</t>
        </is>
      </c>
      <c r="E138" s="52" t="n">
        <v>4100</v>
      </c>
      <c r="F138" s="53" t="n"/>
      <c r="G138" s="55" t="n">
        <v>1300</v>
      </c>
      <c r="H138" s="53" t="n"/>
      <c r="I138" s="40" t="n">
        <v>0.07140000000000001</v>
      </c>
      <c r="J138" s="40" t="n">
        <v>0.43</v>
      </c>
      <c r="K138" s="40" t="n">
        <v>1.2</v>
      </c>
      <c r="L138" s="40" t="n">
        <v>0.74</v>
      </c>
      <c r="M138" s="40" t="n">
        <v>0.18</v>
      </c>
      <c r="N138" s="41" t="n">
        <v>0</v>
      </c>
    </row>
    <row r="139">
      <c r="A139" s="50" t="n">
        <v>135</v>
      </c>
      <c r="B139" s="51" t="inlineStr">
        <is>
          <t>Kameron Johnson</t>
        </is>
      </c>
      <c r="C139" s="50" t="inlineStr">
        <is>
          <t>TB</t>
        </is>
      </c>
      <c r="D139" s="50" t="inlineStr">
        <is>
          <t>ATL</t>
        </is>
      </c>
      <c r="E139" s="52" t="n">
        <v>4200</v>
      </c>
      <c r="F139" s="53" t="n"/>
      <c r="G139" s="55" t="n">
        <v>900</v>
      </c>
      <c r="H139" s="53" t="n"/>
      <c r="I139" s="40" t="n">
        <v>0.1</v>
      </c>
      <c r="J139" s="40" t="n">
        <v>0.6</v>
      </c>
      <c r="K139" s="40" t="n">
        <v>0</v>
      </c>
      <c r="L139" s="40" t="n">
        <v>0.6</v>
      </c>
      <c r="M139" s="40" t="n">
        <v>0.14</v>
      </c>
      <c r="N139" s="41" t="n">
        <v>0</v>
      </c>
    </row>
    <row r="140">
      <c r="A140" s="50" t="n">
        <v>136</v>
      </c>
      <c r="B140" s="51" t="inlineStr">
        <is>
          <t>Greg Dortch</t>
        </is>
      </c>
      <c r="C140" s="50" t="inlineStr">
        <is>
          <t>BUF</t>
        </is>
      </c>
      <c r="D140" s="50" t="inlineStr">
        <is>
          <t>BAL</t>
        </is>
      </c>
      <c r="E140" s="52" t="n">
        <v>4400</v>
      </c>
      <c r="F140" s="53" t="n"/>
      <c r="G140" s="55" t="n">
        <v>750</v>
      </c>
      <c r="H140" s="53" t="n"/>
      <c r="I140" s="40" t="n">
        <v>0.1176</v>
      </c>
      <c r="J140" s="40" t="n">
        <v>0.71</v>
      </c>
      <c r="K140" s="40" t="n">
        <v>0</v>
      </c>
      <c r="L140" s="40" t="n">
        <v>0.71</v>
      </c>
      <c r="M140" s="40" t="n">
        <v>0.16</v>
      </c>
      <c r="N140" s="41" t="n">
        <v>0</v>
      </c>
    </row>
    <row r="141">
      <c r="A141" s="50" t="n">
        <v>137</v>
      </c>
      <c r="B141" s="51" t="inlineStr">
        <is>
          <t>Malik McClain</t>
        </is>
      </c>
      <c r="C141" s="50" t="inlineStr">
        <is>
          <t>NYJ</t>
        </is>
      </c>
      <c r="D141" s="50" t="inlineStr">
        <is>
          <t>LV</t>
        </is>
      </c>
      <c r="E141" s="52" t="n">
        <v>4000</v>
      </c>
      <c r="F141" s="53" t="n"/>
      <c r="G141" s="55" t="n">
        <v>1700</v>
      </c>
      <c r="H141" s="53" t="n"/>
      <c r="I141" s="40" t="n">
        <v>0.0556</v>
      </c>
      <c r="J141" s="40" t="n">
        <v>0.33</v>
      </c>
      <c r="K141" s="40" t="n">
        <v>0</v>
      </c>
      <c r="L141" s="40" t="n">
        <v>0.33</v>
      </c>
      <c r="M141" s="40" t="n">
        <v>0.08</v>
      </c>
      <c r="N141" s="41" t="n">
        <v>0</v>
      </c>
    </row>
    <row r="142">
      <c r="A142" s="50" t="n">
        <v>138</v>
      </c>
      <c r="B142" s="51" t="inlineStr">
        <is>
          <t>Anthony Gould</t>
        </is>
      </c>
      <c r="C142" s="50" t="inlineStr">
        <is>
          <t>IND</t>
        </is>
      </c>
      <c r="D142" s="50" t="inlineStr">
        <is>
          <t>JAC</t>
        </is>
      </c>
      <c r="E142" s="52" t="n">
        <v>4400</v>
      </c>
      <c r="F142" s="53" t="n"/>
      <c r="G142" s="55" t="n">
        <v>2900</v>
      </c>
      <c r="H142" s="53" t="n"/>
      <c r="I142" s="40" t="n">
        <v>0.0333</v>
      </c>
      <c r="J142" s="40" t="n">
        <v>0.2</v>
      </c>
      <c r="K142" s="40" t="n">
        <v>0</v>
      </c>
      <c r="L142" s="40" t="n">
        <v>0.2</v>
      </c>
      <c r="M142" s="40" t="n">
        <v>0.05</v>
      </c>
      <c r="N142" s="41" t="n">
        <v>0</v>
      </c>
    </row>
    <row r="143">
      <c r="A143" s="50" t="n">
        <v>139</v>
      </c>
      <c r="B143" s="51" t="inlineStr">
        <is>
          <t>Simi Fehoko</t>
        </is>
      </c>
      <c r="C143" s="50" t="inlineStr">
        <is>
          <t>ARI</t>
        </is>
      </c>
      <c r="D143" s="50" t="inlineStr">
        <is>
          <t>DAL</t>
        </is>
      </c>
      <c r="E143" s="52" t="n">
        <v>4000</v>
      </c>
      <c r="F143" s="53" t="n"/>
      <c r="G143" s="55" t="n">
        <v>1900</v>
      </c>
      <c r="H143" s="53" t="n"/>
      <c r="I143" s="40" t="n">
        <v>0.05</v>
      </c>
      <c r="J143" s="40" t="n">
        <v>0.3</v>
      </c>
      <c r="K143" s="40" t="n">
        <v>2.1</v>
      </c>
      <c r="L143" s="40" t="n">
        <v>1.02</v>
      </c>
      <c r="M143" s="40" t="n">
        <v>0.26</v>
      </c>
      <c r="N143" s="41" t="n">
        <v>0</v>
      </c>
    </row>
    <row r="144">
      <c r="A144" s="50" t="n">
        <v>140</v>
      </c>
      <c r="B144" s="51" t="inlineStr">
        <is>
          <t>Nick Westbrook-Ikhine</t>
        </is>
      </c>
      <c r="C144" s="50" t="inlineStr">
        <is>
          <t>IND</t>
        </is>
      </c>
      <c r="D144" s="50" t="inlineStr">
        <is>
          <t>JAC</t>
        </is>
      </c>
      <c r="E144" s="52" t="n">
        <v>4100</v>
      </c>
      <c r="F144" s="53" t="n"/>
      <c r="G144" s="53" t="n"/>
      <c r="H144" s="53" t="n"/>
      <c r="I144" s="53">
        <f>IF(OR(ISBLANK(G144), NOT(ISNUMBER(G144))), "", IF(G144 &lt; 0, -G144 / (-G144 + 100), 100 / (G144 + 100)))</f>
        <v/>
      </c>
      <c r="J144" s="40" t="n">
        <v>0</v>
      </c>
      <c r="K144" s="40" t="n">
        <v>0</v>
      </c>
      <c r="L144" s="40" t="n">
        <v>0</v>
      </c>
      <c r="M144" s="40" t="n">
        <v>0</v>
      </c>
      <c r="N144" s="41" t="n">
        <v>0.08</v>
      </c>
    </row>
    <row r="145">
      <c r="A145" s="50" t="n">
        <v>141</v>
      </c>
      <c r="B145" s="51" t="inlineStr">
        <is>
          <t>Tay Martin</t>
        </is>
      </c>
      <c r="C145" s="50" t="inlineStr">
        <is>
          <t>DET</t>
        </is>
      </c>
      <c r="D145" s="50" t="inlineStr">
        <is>
          <t>MIN</t>
        </is>
      </c>
      <c r="E145" s="52" t="n">
        <v>4200</v>
      </c>
      <c r="F145" s="53" t="n"/>
      <c r="G145" s="55" t="n">
        <v>2700</v>
      </c>
      <c r="H145" s="53" t="n"/>
      <c r="I145" s="40" t="n">
        <v>0.0357</v>
      </c>
      <c r="J145" s="40" t="n">
        <v>0.21</v>
      </c>
      <c r="K145" s="40" t="n">
        <v>0</v>
      </c>
      <c r="L145" s="40" t="n">
        <v>0.21</v>
      </c>
      <c r="M145" s="40" t="n">
        <v>0.05</v>
      </c>
      <c r="N145" s="41" t="n">
        <v>0</v>
      </c>
    </row>
    <row r="146">
      <c r="A146" s="50" t="n">
        <v>142</v>
      </c>
      <c r="B146" s="51" t="inlineStr">
        <is>
          <t>Marcus Jones</t>
        </is>
      </c>
      <c r="C146" s="50" t="inlineStr">
        <is>
          <t>NE</t>
        </is>
      </c>
      <c r="D146" s="50" t="inlineStr">
        <is>
          <t>MIA</t>
        </is>
      </c>
      <c r="E146" s="52" t="n">
        <v>4000</v>
      </c>
      <c r="F146" s="53" t="n"/>
      <c r="G146" s="55" t="n"/>
      <c r="H146" s="53" t="n"/>
      <c r="I146" s="40" t="n">
        <v>0.0244</v>
      </c>
      <c r="J146" s="40" t="n">
        <v>0</v>
      </c>
      <c r="K146" s="40" t="n">
        <v>0</v>
      </c>
      <c r="L146" s="40" t="n">
        <v>0</v>
      </c>
      <c r="M146" s="40" t="n">
        <v>0</v>
      </c>
      <c r="N146" s="41" t="n">
        <v>0.08</v>
      </c>
    </row>
    <row r="147">
      <c r="A147" s="50" t="n">
        <v>143</v>
      </c>
      <c r="B147" s="51" t="inlineStr">
        <is>
          <t>Dominic Lovett</t>
        </is>
      </c>
      <c r="C147" s="50" t="inlineStr">
        <is>
          <t>DET</t>
        </is>
      </c>
      <c r="D147" s="50" t="inlineStr">
        <is>
          <t>MIN</t>
        </is>
      </c>
      <c r="E147" s="52" t="n">
        <v>4100</v>
      </c>
      <c r="F147" s="53" t="n"/>
      <c r="G147" s="55" t="n"/>
      <c r="H147" s="53" t="n"/>
      <c r="I147" s="40" t="n">
        <v>0.0556</v>
      </c>
      <c r="J147" s="40" t="n">
        <v>0</v>
      </c>
      <c r="K147" s="40" t="n">
        <v>0</v>
      </c>
      <c r="L147" s="40" t="n">
        <v>0</v>
      </c>
      <c r="M147" s="40" t="n">
        <v>0</v>
      </c>
      <c r="N147" s="41" t="n">
        <v>0.08</v>
      </c>
    </row>
    <row r="148">
      <c r="A148" s="50" t="n">
        <v>144</v>
      </c>
      <c r="B148" s="51" t="inlineStr">
        <is>
          <t>CJ Daniels</t>
        </is>
      </c>
      <c r="C148" s="50" t="inlineStr">
        <is>
          <t>LAR</t>
        </is>
      </c>
      <c r="D148" s="50" t="inlineStr">
        <is>
          <t>LAC</t>
        </is>
      </c>
      <c r="E148" s="52" t="n">
        <v>4100</v>
      </c>
      <c r="F148" s="53" t="n"/>
      <c r="G148" s="55" t="n">
        <v>1900</v>
      </c>
      <c r="H148" s="53" t="n"/>
      <c r="I148" s="40" t="n">
        <v>0.05</v>
      </c>
      <c r="J148" s="40" t="n">
        <v>0.3</v>
      </c>
      <c r="K148" s="40" t="n">
        <v>0</v>
      </c>
      <c r="L148" s="40" t="n">
        <v>0.3</v>
      </c>
      <c r="M148" s="40" t="n">
        <v>0.07000000000000001</v>
      </c>
      <c r="N148" s="41" t="n">
        <v>0</v>
      </c>
    </row>
    <row r="149">
      <c r="A149" s="50" t="n">
        <v>145</v>
      </c>
      <c r="B149" s="51" t="inlineStr">
        <is>
          <t>Alex Bachman</t>
        </is>
      </c>
      <c r="C149" s="50" t="inlineStr">
        <is>
          <t>LAR</t>
        </is>
      </c>
      <c r="D149" s="50" t="inlineStr">
        <is>
          <t>LAC</t>
        </is>
      </c>
      <c r="E149" s="52" t="n">
        <v>4100</v>
      </c>
      <c r="F149" s="53" t="n"/>
      <c r="G149" s="55" t="n">
        <v>1900</v>
      </c>
      <c r="H149" s="53" t="n"/>
      <c r="I149" s="40" t="n">
        <v>0.05</v>
      </c>
      <c r="J149" s="40" t="n">
        <v>0.3</v>
      </c>
      <c r="K149" s="40" t="n">
        <v>0</v>
      </c>
      <c r="L149" s="40" t="n">
        <v>0.3</v>
      </c>
      <c r="M149" s="40" t="n">
        <v>0.07000000000000001</v>
      </c>
      <c r="N149" s="41" t="n">
        <v>0</v>
      </c>
    </row>
    <row r="150">
      <c r="A150" s="50" t="n">
        <v>146</v>
      </c>
      <c r="B150" s="51" t="inlineStr">
        <is>
          <t>Devin Duvernay</t>
        </is>
      </c>
      <c r="C150" s="50" t="inlineStr">
        <is>
          <t>ARI</t>
        </is>
      </c>
      <c r="D150" s="50" t="inlineStr">
        <is>
          <t>DAL</t>
        </is>
      </c>
      <c r="E150" s="52" t="n">
        <v>4100</v>
      </c>
      <c r="F150" s="53" t="n"/>
      <c r="G150" s="55" t="n">
        <v>1400</v>
      </c>
      <c r="H150" s="53" t="n"/>
      <c r="I150" s="40" t="n">
        <v>0.0667</v>
      </c>
      <c r="J150" s="40" t="n">
        <v>0.4</v>
      </c>
      <c r="K150" s="40" t="n">
        <v>0</v>
      </c>
      <c r="L150" s="40" t="n">
        <v>0.4</v>
      </c>
      <c r="M150" s="40" t="n">
        <v>0.1</v>
      </c>
      <c r="N150" s="41" t="n">
        <v>0</v>
      </c>
    </row>
    <row r="151">
      <c r="A151" s="50" t="n">
        <v>147</v>
      </c>
      <c r="B151" s="51" t="inlineStr">
        <is>
          <t>Odell Beckham Jr.</t>
        </is>
      </c>
      <c r="C151" s="50" t="inlineStr">
        <is>
          <t>MIN</t>
        </is>
      </c>
      <c r="D151" s="50" t="inlineStr">
        <is>
          <t>DET</t>
        </is>
      </c>
      <c r="E151" s="52" t="n">
        <v>4200</v>
      </c>
      <c r="F151" s="53" t="n"/>
      <c r="G151" s="53" t="n"/>
      <c r="H151" s="53" t="n"/>
      <c r="I151" s="53">
        <f>IF(OR(ISBLANK(G151), NOT(ISNUMBER(G151))), "", IF(G151 &lt; 0, -G151 / (-G151 + 100), 100 / (G151 + 100)))</f>
        <v/>
      </c>
      <c r="J151" s="40" t="n">
        <v>0</v>
      </c>
      <c r="K151" s="40" t="n">
        <v>0</v>
      </c>
      <c r="L151" s="40" t="n">
        <v>0</v>
      </c>
      <c r="M151" s="40" t="n">
        <v>0</v>
      </c>
      <c r="N151" s="41" t="n">
        <v>0.08</v>
      </c>
    </row>
    <row r="152">
      <c r="A152" s="50" t="n">
        <v>148</v>
      </c>
      <c r="B152" s="51" t="inlineStr">
        <is>
          <t>David Sills V</t>
        </is>
      </c>
      <c r="C152" s="50" t="inlineStr">
        <is>
          <t>TB</t>
        </is>
      </c>
      <c r="D152" s="50" t="inlineStr">
        <is>
          <t>ATL</t>
        </is>
      </c>
      <c r="E152" s="52" t="n">
        <v>4000</v>
      </c>
      <c r="F152" s="53" t="n"/>
      <c r="G152" s="55" t="n">
        <v>1900</v>
      </c>
      <c r="H152" s="53" t="n"/>
      <c r="I152" s="40" t="n">
        <v>0.05</v>
      </c>
      <c r="J152" s="40" t="n">
        <v>0.3</v>
      </c>
      <c r="K152" s="40" t="n">
        <v>0</v>
      </c>
      <c r="L152" s="40" t="n">
        <v>0.3</v>
      </c>
      <c r="M152" s="40" t="n">
        <v>0.08</v>
      </c>
      <c r="N152" s="41" t="n">
        <v>0</v>
      </c>
    </row>
    <row r="153">
      <c r="A153" s="50" t="n">
        <v>149</v>
      </c>
      <c r="B153" s="51" t="inlineStr">
        <is>
          <t>Tom Kennedy</t>
        </is>
      </c>
      <c r="C153" s="50" t="inlineStr">
        <is>
          <t>DET</t>
        </is>
      </c>
      <c r="D153" s="50" t="inlineStr">
        <is>
          <t>MIN</t>
        </is>
      </c>
      <c r="E153" s="52" t="n">
        <v>4000</v>
      </c>
      <c r="F153" s="53" t="n"/>
      <c r="G153" s="53" t="n"/>
      <c r="H153" s="53" t="n"/>
      <c r="I153" s="53">
        <f>IF(OR(ISBLANK(G153), NOT(ISNUMBER(G153))), "", IF(G153 &lt; 0, -G153 / (-G153 + 100), 100 / (G153 + 100)))</f>
        <v/>
      </c>
      <c r="J153" s="40" t="n">
        <v>0</v>
      </c>
      <c r="K153" s="40" t="n">
        <v>0</v>
      </c>
      <c r="L153" s="40" t="n">
        <v>0</v>
      </c>
      <c r="M153" s="40" t="n">
        <v>0</v>
      </c>
      <c r="N153" s="41" t="n">
        <v>0.08</v>
      </c>
    </row>
    <row r="154">
      <c r="A154" s="50" t="n">
        <v>150</v>
      </c>
      <c r="B154" s="51" t="inlineStr">
        <is>
          <t>Kaden Wetjen</t>
        </is>
      </c>
      <c r="C154" s="50" t="inlineStr">
        <is>
          <t>PIT</t>
        </is>
      </c>
      <c r="D154" s="50" t="inlineStr">
        <is>
          <t>CLE</t>
        </is>
      </c>
      <c r="E154" s="52" t="n">
        <v>4000</v>
      </c>
      <c r="F154" s="53" t="n"/>
      <c r="G154" s="55" t="n">
        <v>1300</v>
      </c>
      <c r="H154" s="53" t="n"/>
      <c r="I154" s="40" t="n">
        <v>0.07140000000000001</v>
      </c>
      <c r="J154" s="40" t="n">
        <v>0.43</v>
      </c>
      <c r="K154" s="40" t="n">
        <v>0</v>
      </c>
      <c r="L154" s="40" t="n">
        <v>0.43</v>
      </c>
      <c r="M154" s="40" t="n">
        <v>0.11</v>
      </c>
      <c r="N154" s="41" t="n">
        <v>0</v>
      </c>
    </row>
    <row r="155">
      <c r="A155" s="50" t="n">
        <v>151</v>
      </c>
      <c r="B155" s="51" t="inlineStr">
        <is>
          <t>Arian Smith</t>
        </is>
      </c>
      <c r="C155" s="50" t="inlineStr">
        <is>
          <t>NYJ</t>
        </is>
      </c>
      <c r="D155" s="50" t="inlineStr">
        <is>
          <t>LV</t>
        </is>
      </c>
      <c r="E155" s="52" t="n">
        <v>4000</v>
      </c>
      <c r="F155" s="53" t="n"/>
      <c r="G155" s="55" t="n"/>
      <c r="H155" s="53" t="n"/>
      <c r="I155" s="40" t="n">
        <v>0.1053</v>
      </c>
      <c r="J155" s="40" t="n">
        <v>0</v>
      </c>
      <c r="K155" s="40" t="n">
        <v>0</v>
      </c>
      <c r="L155" s="40" t="n">
        <v>0</v>
      </c>
      <c r="M155" s="40" t="n">
        <v>0</v>
      </c>
      <c r="N155" s="41" t="n">
        <v>0.08</v>
      </c>
    </row>
    <row r="156">
      <c r="A156" s="50" t="n">
        <v>152</v>
      </c>
      <c r="B156" s="51" t="inlineStr">
        <is>
          <t>Jamaal Pritchett</t>
        </is>
      </c>
      <c r="C156" s="50" t="inlineStr">
        <is>
          <t>NYJ</t>
        </is>
      </c>
      <c r="D156" s="50" t="inlineStr">
        <is>
          <t>LV</t>
        </is>
      </c>
      <c r="E156" s="52" t="n">
        <v>4000</v>
      </c>
      <c r="F156" s="53" t="n"/>
      <c r="G156" s="55" t="n"/>
      <c r="H156" s="53" t="n"/>
      <c r="I156" s="40" t="n">
        <v>0.0769</v>
      </c>
      <c r="J156" s="40" t="n">
        <v>0</v>
      </c>
      <c r="K156" s="40" t="n">
        <v>0</v>
      </c>
      <c r="L156" s="40" t="n">
        <v>0</v>
      </c>
      <c r="M156" s="40" t="n">
        <v>0</v>
      </c>
      <c r="N156" s="41" t="n">
        <v>0.08</v>
      </c>
    </row>
    <row r="157">
      <c r="A157" s="50" t="n">
        <v>153</v>
      </c>
      <c r="B157" s="51" t="inlineStr">
        <is>
          <t>Jalen McMillan</t>
        </is>
      </c>
      <c r="C157" s="50" t="inlineStr">
        <is>
          <t>TB</t>
        </is>
      </c>
      <c r="D157" s="50" t="inlineStr">
        <is>
          <t>ATL</t>
        </is>
      </c>
      <c r="E157" s="52" t="n">
        <v>4000</v>
      </c>
      <c r="F157" s="53" t="n"/>
      <c r="G157" s="53" t="n"/>
      <c r="H157" s="53" t="n"/>
      <c r="I157" s="53">
        <f>IF(OR(ISBLANK(G157), NOT(ISNUMBER(G157))), "", IF(G157 &lt; 0, -G157 / (-G157 + 100), 100 / (G157 + 100)))</f>
        <v/>
      </c>
      <c r="J157" s="40" t="n">
        <v>0</v>
      </c>
      <c r="K157" s="40" t="n">
        <v>0</v>
      </c>
      <c r="L157" s="40" t="n">
        <v>0</v>
      </c>
      <c r="M157" s="40" t="n">
        <v>0</v>
      </c>
      <c r="N157" s="41" t="n">
        <v>0.08</v>
      </c>
    </row>
    <row r="158">
      <c r="A158" s="50" t="n">
        <v>154</v>
      </c>
      <c r="B158" s="51" t="inlineStr">
        <is>
          <t>CJ Williams</t>
        </is>
      </c>
      <c r="C158" s="50" t="inlineStr">
        <is>
          <t>JAC</t>
        </is>
      </c>
      <c r="D158" s="50" t="inlineStr">
        <is>
          <t>IND</t>
        </is>
      </c>
      <c r="E158" s="52" t="n">
        <v>4000</v>
      </c>
      <c r="F158" s="53" t="n"/>
      <c r="G158" s="55" t="n">
        <v>1300</v>
      </c>
      <c r="H158" s="53" t="n"/>
      <c r="I158" s="40" t="n">
        <v>0.07140000000000001</v>
      </c>
      <c r="J158" s="40" t="n">
        <v>0.43</v>
      </c>
      <c r="K158" s="40" t="n">
        <v>0</v>
      </c>
      <c r="L158" s="40" t="n">
        <v>0.43</v>
      </c>
      <c r="M158" s="40" t="n">
        <v>0.11</v>
      </c>
      <c r="N158" s="41" t="n">
        <v>0</v>
      </c>
    </row>
    <row r="159">
      <c r="A159" s="50" t="n">
        <v>155</v>
      </c>
      <c r="B159" s="51" t="inlineStr">
        <is>
          <t>Kolbe Katsis</t>
        </is>
      </c>
      <c r="C159" s="50" t="inlineStr">
        <is>
          <t>DEN</t>
        </is>
      </c>
      <c r="D159" s="50" t="inlineStr">
        <is>
          <t>KC</t>
        </is>
      </c>
      <c r="E159" s="52" t="n">
        <v>4000</v>
      </c>
      <c r="F159" s="40" t="n"/>
      <c r="G159" s="55" t="n"/>
      <c r="H159" s="40" t="n"/>
      <c r="I159" s="40" t="n">
        <v>0.1143</v>
      </c>
      <c r="J159" s="40" t="n">
        <v>0</v>
      </c>
      <c r="K159" s="40" t="n">
        <v>0</v>
      </c>
      <c r="L159" s="40" t="n">
        <v>0</v>
      </c>
      <c r="M159" s="40" t="n">
        <v>0</v>
      </c>
      <c r="N159" s="41" t="n">
        <v>0.08</v>
      </c>
    </row>
    <row r="160">
      <c r="A160" s="50" t="n">
        <v>156</v>
      </c>
      <c r="B160" s="51" t="inlineStr">
        <is>
          <t>DeAndre Carter</t>
        </is>
      </c>
      <c r="C160" s="50" t="inlineStr">
        <is>
          <t>DET</t>
        </is>
      </c>
      <c r="D160" s="50" t="inlineStr">
        <is>
          <t>MIN</t>
        </is>
      </c>
      <c r="E160" s="52" t="n">
        <v>4000</v>
      </c>
      <c r="F160" s="53" t="n"/>
      <c r="G160" s="55" t="n">
        <v>2800</v>
      </c>
      <c r="H160" s="53" t="n"/>
      <c r="I160" s="40" t="n">
        <v>0.0345</v>
      </c>
      <c r="J160" s="40" t="n">
        <v>0.21</v>
      </c>
      <c r="K160" s="40" t="n">
        <v>0</v>
      </c>
      <c r="L160" s="40" t="n">
        <v>0.21</v>
      </c>
      <c r="M160" s="40" t="n">
        <v>0.05</v>
      </c>
      <c r="N160" s="41" t="n">
        <v>0</v>
      </c>
    </row>
    <row r="161">
      <c r="A161" s="50" t="n">
        <v>157</v>
      </c>
      <c r="B161" s="51" t="inlineStr">
        <is>
          <t>Skyler Bell</t>
        </is>
      </c>
      <c r="C161" s="50" t="inlineStr">
        <is>
          <t>BUF</t>
        </is>
      </c>
      <c r="D161" s="50" t="inlineStr">
        <is>
          <t>BAL</t>
        </is>
      </c>
      <c r="E161" s="52" t="n">
        <v>4000</v>
      </c>
      <c r="F161" s="53" t="n"/>
      <c r="G161" s="55" t="n">
        <v>600</v>
      </c>
      <c r="H161" s="53" t="n"/>
      <c r="I161" s="40" t="n">
        <v>0.1429</v>
      </c>
      <c r="J161" s="40" t="n">
        <v>0.86</v>
      </c>
      <c r="K161" s="40" t="n">
        <v>0</v>
      </c>
      <c r="L161" s="40" t="n">
        <v>0.86</v>
      </c>
      <c r="M161" s="40" t="n">
        <v>0.21</v>
      </c>
      <c r="N161" s="41" t="n">
        <v>0</v>
      </c>
    </row>
    <row r="162">
      <c r="A162" s="50" t="n">
        <v>158</v>
      </c>
      <c r="B162" s="51" t="inlineStr">
        <is>
          <t>Camden Brown</t>
        </is>
      </c>
      <c r="C162" s="50" t="inlineStr">
        <is>
          <t>DAL</t>
        </is>
      </c>
      <c r="D162" s="50" t="inlineStr">
        <is>
          <t>ARI</t>
        </is>
      </c>
      <c r="E162" s="52" t="n">
        <v>4000</v>
      </c>
      <c r="F162" s="53" t="n"/>
      <c r="G162" s="55" t="n">
        <v>800</v>
      </c>
      <c r="H162" s="53" t="n"/>
      <c r="I162" s="40" t="n">
        <v>0.1111</v>
      </c>
      <c r="J162" s="40" t="n">
        <v>0.67</v>
      </c>
      <c r="K162" s="40" t="n">
        <v>0</v>
      </c>
      <c r="L162" s="40" t="n">
        <v>0.67</v>
      </c>
      <c r="M162" s="40" t="n">
        <v>0.17</v>
      </c>
      <c r="N162" s="41" t="n">
        <v>0</v>
      </c>
    </row>
    <row r="163">
      <c r="A163" s="50" t="n">
        <v>159</v>
      </c>
      <c r="B163" s="51" t="inlineStr">
        <is>
          <t>Trent Sherfield Sr.</t>
        </is>
      </c>
      <c r="C163" s="50" t="inlineStr">
        <is>
          <t>BUF</t>
        </is>
      </c>
      <c r="D163" s="50" t="inlineStr">
        <is>
          <t>BAL</t>
        </is>
      </c>
      <c r="E163" s="52" t="n">
        <v>4000</v>
      </c>
      <c r="F163" s="53" t="n"/>
      <c r="G163" s="53" t="n"/>
      <c r="H163" s="53" t="n"/>
      <c r="I163" s="53">
        <f>IF(OR(ISBLANK(G163), NOT(ISNUMBER(G163))), "", IF(G163 &lt; 0, -G163 / (-G163 + 100), 100 / (G163 + 100)))</f>
        <v/>
      </c>
      <c r="J163" s="40" t="n">
        <v>0</v>
      </c>
      <c r="K163" s="40" t="n">
        <v>0</v>
      </c>
      <c r="L163" s="40" t="n">
        <v>0</v>
      </c>
      <c r="M163" s="40" t="n">
        <v>0</v>
      </c>
      <c r="N163" s="41" t="n">
        <v>0.08</v>
      </c>
    </row>
    <row r="164">
      <c r="A164" s="50" t="n">
        <v>160</v>
      </c>
      <c r="B164" s="51" t="inlineStr">
        <is>
          <t>Derius Davis</t>
        </is>
      </c>
      <c r="C164" s="50" t="inlineStr">
        <is>
          <t>LAC</t>
        </is>
      </c>
      <c r="D164" s="50" t="inlineStr">
        <is>
          <t>LAR</t>
        </is>
      </c>
      <c r="E164" s="52" t="n">
        <v>4200</v>
      </c>
      <c r="F164" s="53" t="n"/>
      <c r="G164" s="55" t="n">
        <v>1100</v>
      </c>
      <c r="H164" s="53" t="n"/>
      <c r="I164" s="40" t="n">
        <v>0.0833</v>
      </c>
      <c r="J164" s="40" t="n">
        <v>0.5</v>
      </c>
      <c r="K164" s="40" t="n">
        <v>0</v>
      </c>
      <c r="L164" s="40" t="n">
        <v>0.5</v>
      </c>
      <c r="M164" s="40" t="n">
        <v>0.12</v>
      </c>
      <c r="N164" s="41" t="n">
        <v>0</v>
      </c>
    </row>
    <row r="165">
      <c r="A165" s="50" t="n">
        <v>161</v>
      </c>
      <c r="B165" s="51" t="inlineStr">
        <is>
          <t>Malachi Corley</t>
        </is>
      </c>
      <c r="C165" s="50" t="inlineStr">
        <is>
          <t>CLE</t>
        </is>
      </c>
      <c r="D165" s="50" t="inlineStr">
        <is>
          <t>PIT</t>
        </is>
      </c>
      <c r="E165" s="52" t="n">
        <v>4000</v>
      </c>
      <c r="F165" s="53" t="n"/>
      <c r="G165" s="55" t="n">
        <v>1100</v>
      </c>
      <c r="H165" s="53" t="n"/>
      <c r="I165" s="40" t="n">
        <v>0.0833</v>
      </c>
      <c r="J165" s="40" t="n">
        <v>0.5</v>
      </c>
      <c r="K165" s="40" t="n">
        <v>0</v>
      </c>
      <c r="L165" s="40" t="n">
        <v>0.5</v>
      </c>
      <c r="M165" s="40" t="n">
        <v>0.12</v>
      </c>
      <c r="N165" s="41" t="n">
        <v>0</v>
      </c>
    </row>
    <row r="166">
      <c r="A166" s="50" t="n">
        <v>162</v>
      </c>
      <c r="B166" s="51" t="inlineStr">
        <is>
          <t>Nikko Remigio</t>
        </is>
      </c>
      <c r="C166" s="50" t="inlineStr">
        <is>
          <t>KC</t>
        </is>
      </c>
      <c r="D166" s="50" t="inlineStr">
        <is>
          <t>DEN</t>
        </is>
      </c>
      <c r="E166" s="52" t="n">
        <v>4500</v>
      </c>
      <c r="F166" s="53" t="n"/>
      <c r="G166" s="55" t="n">
        <v>1700</v>
      </c>
      <c r="H166" s="53" t="n"/>
      <c r="I166" s="40" t="n">
        <v>0.0556</v>
      </c>
      <c r="J166" s="40" t="n">
        <v>0.33</v>
      </c>
      <c r="K166" s="40" t="n">
        <v>0</v>
      </c>
      <c r="L166" s="40" t="n">
        <v>0.33</v>
      </c>
      <c r="M166" s="40" t="n">
        <v>0.07000000000000001</v>
      </c>
      <c r="N166" s="41" t="n">
        <v>0</v>
      </c>
    </row>
    <row r="167">
      <c r="A167" s="50" t="n">
        <v>163</v>
      </c>
      <c r="B167" s="51" t="inlineStr">
        <is>
          <t>Jimmy Horn Jr.</t>
        </is>
      </c>
      <c r="C167" s="50" t="inlineStr">
        <is>
          <t>CLE</t>
        </is>
      </c>
      <c r="D167" s="50" t="inlineStr">
        <is>
          <t>PIT</t>
        </is>
      </c>
      <c r="E167" s="52" t="n">
        <v>4000</v>
      </c>
      <c r="F167" s="53" t="n"/>
      <c r="G167" s="53" t="n"/>
      <c r="H167" s="53" t="n"/>
      <c r="I167" s="53">
        <f>IF(OR(ISBLANK(G167), NOT(ISNUMBER(G167))), "", IF(G167 &lt; 0, -G167 / (-G167 + 100), 100 / (G167 + 100)))</f>
        <v/>
      </c>
      <c r="J167" s="40" t="n">
        <v>0</v>
      </c>
      <c r="K167" s="40" t="n">
        <v>0</v>
      </c>
      <c r="L167" s="40" t="n">
        <v>0</v>
      </c>
      <c r="M167" s="40" t="n">
        <v>0</v>
      </c>
      <c r="N167" s="41" t="n">
        <v>0.08</v>
      </c>
    </row>
    <row r="168">
      <c r="A168" s="50" t="n">
        <v>164</v>
      </c>
      <c r="B168" s="51" t="inlineStr">
        <is>
          <t>Ke'Shawn Williams</t>
        </is>
      </c>
      <c r="C168" s="50" t="inlineStr">
        <is>
          <t>CIN</t>
        </is>
      </c>
      <c r="D168" s="50" t="inlineStr">
        <is>
          <t>TEN</t>
        </is>
      </c>
      <c r="E168" s="52" t="n">
        <v>4000</v>
      </c>
      <c r="F168" s="53" t="n"/>
      <c r="G168" s="53" t="n"/>
      <c r="H168" s="53" t="n"/>
      <c r="I168" s="53">
        <f>IF(OR(ISBLANK(G168), NOT(ISNUMBER(G168))), "", IF(G168 &lt; 0, -G168 / (-G168 + 100), 100 / (G168 + 100)))</f>
        <v/>
      </c>
      <c r="J168" s="40" t="n">
        <v>0</v>
      </c>
      <c r="K168" s="40" t="n">
        <v>0</v>
      </c>
      <c r="L168" s="40" t="n">
        <v>0</v>
      </c>
      <c r="M168" s="40" t="n">
        <v>0</v>
      </c>
      <c r="N168" s="41" t="n">
        <v>0.08</v>
      </c>
    </row>
    <row r="169">
      <c r="A169" s="50" t="n">
        <v>165</v>
      </c>
      <c r="B169" s="51" t="inlineStr">
        <is>
          <t>Harrison Wallace III</t>
        </is>
      </c>
      <c r="C169" s="50" t="inlineStr">
        <is>
          <t>ARI</t>
        </is>
      </c>
      <c r="D169" s="50" t="inlineStr">
        <is>
          <t>DAL</t>
        </is>
      </c>
      <c r="E169" s="52" t="n">
        <v>4000</v>
      </c>
      <c r="F169" s="53" t="n"/>
      <c r="G169" s="53" t="n"/>
      <c r="H169" s="53" t="n"/>
      <c r="I169" s="53">
        <f>IF(OR(ISBLANK(G169), NOT(ISNUMBER(G169))), "", IF(G169 &lt; 0, -G169 / (-G169 + 100), 100 / (G169 + 100)))</f>
        <v/>
      </c>
      <c r="J169" s="40" t="n">
        <v>0</v>
      </c>
      <c r="K169" s="40" t="n">
        <v>0</v>
      </c>
      <c r="L169" s="40" t="n">
        <v>0</v>
      </c>
      <c r="M169" s="40" t="n">
        <v>0</v>
      </c>
      <c r="N169" s="41" t="n">
        <v>0.08</v>
      </c>
    </row>
    <row r="170">
      <c r="A170" s="50" t="n">
        <v>166</v>
      </c>
      <c r="B170" s="51" t="inlineStr">
        <is>
          <t>Kyle Dixon</t>
        </is>
      </c>
      <c r="C170" s="50" t="inlineStr">
        <is>
          <t>NE</t>
        </is>
      </c>
      <c r="D170" s="50" t="inlineStr">
        <is>
          <t>MIA</t>
        </is>
      </c>
      <c r="E170" s="52" t="n">
        <v>4000</v>
      </c>
      <c r="F170" s="53" t="n"/>
      <c r="G170" s="53" t="n"/>
      <c r="H170" s="53" t="n"/>
      <c r="I170" s="53">
        <f>IF(OR(ISBLANK(G170), NOT(ISNUMBER(G170))), "", IF(G170 &lt; 0, -G170 / (-G170 + 100), 100 / (G170 + 100)))</f>
        <v/>
      </c>
      <c r="J170" s="40" t="n">
        <v>0</v>
      </c>
      <c r="K170" s="40" t="n">
        <v>0</v>
      </c>
      <c r="L170" s="40" t="n">
        <v>0</v>
      </c>
      <c r="M170" s="40" t="n">
        <v>0</v>
      </c>
      <c r="N170" s="41" t="n">
        <v>0.08</v>
      </c>
    </row>
    <row r="171">
      <c r="A171" s="50" t="n">
        <v>167</v>
      </c>
      <c r="B171" s="51" t="inlineStr">
        <is>
          <t>Jordan Hudson</t>
        </is>
      </c>
      <c r="C171" s="50" t="inlineStr">
        <is>
          <t>DAL</t>
        </is>
      </c>
      <c r="D171" s="50" t="inlineStr">
        <is>
          <t>ARI</t>
        </is>
      </c>
      <c r="E171" s="52" t="n">
        <v>4000</v>
      </c>
      <c r="F171" s="53" t="n"/>
      <c r="G171" s="53" t="n"/>
      <c r="H171" s="53" t="n"/>
      <c r="I171" s="53">
        <f>IF(OR(ISBLANK(G171), NOT(ISNUMBER(G171))), "", IF(G171 &lt; 0, -G171 / (-G171 + 100), 100 / (G171 + 100)))</f>
        <v/>
      </c>
      <c r="J171" s="40" t="n">
        <v>0</v>
      </c>
      <c r="K171" s="40" t="n">
        <v>0</v>
      </c>
      <c r="L171" s="40" t="n">
        <v>0</v>
      </c>
      <c r="M171" s="40" t="n">
        <v>0</v>
      </c>
      <c r="N171" s="41" t="n">
        <v>0.08</v>
      </c>
    </row>
    <row r="172">
      <c r="A172" s="50" t="n">
        <v>168</v>
      </c>
      <c r="B172" s="51" t="inlineStr">
        <is>
          <t>Dean Patterson IV</t>
        </is>
      </c>
      <c r="C172" s="50" t="inlineStr">
        <is>
          <t>TB</t>
        </is>
      </c>
      <c r="D172" s="50" t="inlineStr">
        <is>
          <t>ATL</t>
        </is>
      </c>
      <c r="E172" s="52" t="n">
        <v>4000</v>
      </c>
      <c r="F172" s="53" t="n"/>
      <c r="G172" s="53" t="n"/>
      <c r="H172" s="53" t="n"/>
      <c r="I172" s="53">
        <f>IF(OR(ISBLANK(G172), NOT(ISNUMBER(G172))), "", IF(G172 &lt; 0, -G172 / (-G172 + 100), 100 / (G172 + 100)))</f>
        <v/>
      </c>
      <c r="J172" s="40" t="n">
        <v>0</v>
      </c>
      <c r="K172" s="40" t="n">
        <v>0</v>
      </c>
      <c r="L172" s="40" t="n">
        <v>0</v>
      </c>
      <c r="M172" s="40" t="n">
        <v>0</v>
      </c>
      <c r="N172" s="41" t="n">
        <v>0.08</v>
      </c>
    </row>
    <row r="173">
      <c r="A173" s="50" t="n">
        <v>169</v>
      </c>
      <c r="B173" s="51" t="inlineStr">
        <is>
          <t>John Saunders Jr.</t>
        </is>
      </c>
      <c r="C173" s="50" t="inlineStr">
        <is>
          <t>CLE</t>
        </is>
      </c>
      <c r="D173" s="50" t="inlineStr">
        <is>
          <t>PIT</t>
        </is>
      </c>
      <c r="E173" s="52" t="n">
        <v>4000</v>
      </c>
      <c r="F173" s="53" t="n"/>
      <c r="G173" s="53" t="n"/>
      <c r="H173" s="53" t="n"/>
      <c r="I173" s="53">
        <f>IF(OR(ISBLANK(G173), NOT(ISNUMBER(G173))), "", IF(G173 &lt; 0, -G173 / (-G173 + 100), 100 / (G173 + 100)))</f>
        <v/>
      </c>
      <c r="J173" s="40" t="n">
        <v>0</v>
      </c>
      <c r="K173" s="40" t="n">
        <v>0</v>
      </c>
      <c r="L173" s="40" t="n">
        <v>0</v>
      </c>
      <c r="M173" s="40" t="n">
        <v>0</v>
      </c>
      <c r="N173" s="41" t="n">
        <v>0.08</v>
      </c>
    </row>
    <row r="174">
      <c r="A174" s="50" t="n">
        <v>170</v>
      </c>
      <c r="B174" s="51" t="inlineStr">
        <is>
          <t>Jeff Caldwell</t>
        </is>
      </c>
      <c r="C174" s="50" t="inlineStr">
        <is>
          <t>KC</t>
        </is>
      </c>
      <c r="D174" s="50" t="inlineStr">
        <is>
          <t>DEN</t>
        </is>
      </c>
      <c r="E174" s="52" t="n">
        <v>4000</v>
      </c>
      <c r="F174" s="53" t="n"/>
      <c r="G174" s="53" t="n"/>
      <c r="H174" s="53" t="n"/>
      <c r="I174" s="53">
        <f>IF(OR(ISBLANK(G174), NOT(ISNUMBER(G174))), "", IF(G174 &lt; 0, -G174 / (-G174 + 100), 100 / (G174 + 100)))</f>
        <v/>
      </c>
      <c r="J174" s="40" t="n">
        <v>0</v>
      </c>
      <c r="K174" s="40" t="n">
        <v>0</v>
      </c>
      <c r="L174" s="40" t="n">
        <v>0</v>
      </c>
      <c r="M174" s="40" t="n">
        <v>0</v>
      </c>
      <c r="N174" s="41" t="n">
        <v>0.08</v>
      </c>
    </row>
    <row r="175">
      <c r="A175" s="50" t="n">
        <v>171</v>
      </c>
      <c r="B175" s="51" t="inlineStr">
        <is>
          <t>Phillip Dorsett II</t>
        </is>
      </c>
      <c r="C175" s="50" t="inlineStr">
        <is>
          <t>LV</t>
        </is>
      </c>
      <c r="D175" s="50" t="inlineStr">
        <is>
          <t>NYJ</t>
        </is>
      </c>
      <c r="E175" s="52" t="n">
        <v>4000</v>
      </c>
      <c r="F175" s="53" t="n"/>
      <c r="G175" s="53" t="n"/>
      <c r="H175" s="53" t="n"/>
      <c r="I175" s="53">
        <f>IF(OR(ISBLANK(G175), NOT(ISNUMBER(G175))), "", IF(G175 &lt; 0, -G175 / (-G175 + 100), 100 / (G175 + 100)))</f>
        <v/>
      </c>
      <c r="J175" s="40" t="n">
        <v>0</v>
      </c>
      <c r="K175" s="40" t="n">
        <v>0</v>
      </c>
      <c r="L175" s="40" t="n">
        <v>0</v>
      </c>
      <c r="M175" s="40" t="n">
        <v>0</v>
      </c>
      <c r="N175" s="41" t="n">
        <v>0.08</v>
      </c>
    </row>
    <row r="176">
      <c r="A176" s="50" t="n">
        <v>172</v>
      </c>
      <c r="B176" s="51" t="inlineStr">
        <is>
          <t>D.J. Montgomery</t>
        </is>
      </c>
      <c r="C176" s="50" t="inlineStr">
        <is>
          <t>IND</t>
        </is>
      </c>
      <c r="D176" s="50" t="inlineStr">
        <is>
          <t>JAC</t>
        </is>
      </c>
      <c r="E176" s="52" t="n">
        <v>4000</v>
      </c>
      <c r="F176" s="53" t="n"/>
      <c r="G176" s="53" t="n"/>
      <c r="H176" s="53" t="n"/>
      <c r="I176" s="53">
        <f>IF(OR(ISBLANK(G176), NOT(ISNUMBER(G176))), "", IF(G176 &lt; 0, -G176 / (-G176 + 100), 100 / (G176 + 100)))</f>
        <v/>
      </c>
      <c r="J176" s="40" t="n">
        <v>0</v>
      </c>
      <c r="K176" s="40" t="n">
        <v>0</v>
      </c>
      <c r="L176" s="40" t="n">
        <v>0</v>
      </c>
      <c r="M176" s="40" t="n">
        <v>0</v>
      </c>
      <c r="N176" s="41" t="n">
        <v>0.08</v>
      </c>
    </row>
    <row r="177">
      <c r="A177" s="50" t="n">
        <v>173</v>
      </c>
      <c r="B177" s="51" t="inlineStr">
        <is>
          <t>Chandler Brayboy</t>
        </is>
      </c>
      <c r="C177" s="50" t="inlineStr">
        <is>
          <t>NE</t>
        </is>
      </c>
      <c r="D177" s="50" t="inlineStr">
        <is>
          <t>MIA</t>
        </is>
      </c>
      <c r="E177" s="52" t="n">
        <v>4000</v>
      </c>
      <c r="F177" s="53" t="n"/>
      <c r="G177" s="53" t="n"/>
      <c r="H177" s="53" t="n"/>
      <c r="I177" s="53">
        <f>IF(OR(ISBLANK(G177), NOT(ISNUMBER(G177))), "", IF(G177 &lt; 0, -G177 / (-G177 + 100), 100 / (G177 + 100)))</f>
        <v/>
      </c>
      <c r="J177" s="40" t="n">
        <v>0</v>
      </c>
      <c r="K177" s="40" t="n">
        <v>0</v>
      </c>
      <c r="L177" s="40" t="n">
        <v>0</v>
      </c>
      <c r="M177" s="40" t="n">
        <v>0</v>
      </c>
      <c r="N177" s="41" t="n">
        <v>0.08</v>
      </c>
    </row>
    <row r="178">
      <c r="A178" s="50" t="n">
        <v>174</v>
      </c>
      <c r="B178" s="51" t="inlineStr">
        <is>
          <t>Stephen Gosnell</t>
        </is>
      </c>
      <c r="C178" s="50" t="inlineStr">
        <is>
          <t>BUF</t>
        </is>
      </c>
      <c r="D178" s="50" t="inlineStr">
        <is>
          <t>BAL</t>
        </is>
      </c>
      <c r="E178" s="52" t="n">
        <v>4000</v>
      </c>
      <c r="F178" s="53" t="n"/>
      <c r="G178" s="53" t="n"/>
      <c r="H178" s="53" t="n"/>
      <c r="I178" s="53">
        <f>IF(OR(ISBLANK(G178), NOT(ISNUMBER(G178))), "", IF(G178 &lt; 0, -G178 / (-G178 + 100), 100 / (G178 + 100)))</f>
        <v/>
      </c>
      <c r="J178" s="40" t="n">
        <v>0</v>
      </c>
      <c r="K178" s="40" t="n">
        <v>0</v>
      </c>
      <c r="L178" s="40" t="n">
        <v>0</v>
      </c>
      <c r="M178" s="40" t="n">
        <v>0</v>
      </c>
      <c r="N178" s="41" t="n">
        <v>0.08</v>
      </c>
    </row>
    <row r="179">
      <c r="A179" s="50" t="n">
        <v>175</v>
      </c>
      <c r="B179" s="51" t="inlineStr">
        <is>
          <t>Eric Rivers Jr.</t>
        </is>
      </c>
      <c r="C179" s="50" t="inlineStr">
        <is>
          <t>TB</t>
        </is>
      </c>
      <c r="D179" s="50" t="inlineStr">
        <is>
          <t>ATL</t>
        </is>
      </c>
      <c r="E179" s="52" t="n">
        <v>4000</v>
      </c>
      <c r="F179" s="53" t="n"/>
      <c r="G179" s="53" t="n"/>
      <c r="H179" s="53" t="n"/>
      <c r="I179" s="53">
        <f>IF(OR(ISBLANK(G179), NOT(ISNUMBER(G179))), "", IF(G179 &lt; 0, -G179 / (-G179 + 100), 100 / (G179 + 100)))</f>
        <v/>
      </c>
      <c r="J179" s="40" t="n">
        <v>0</v>
      </c>
      <c r="K179" s="40" t="n">
        <v>0</v>
      </c>
      <c r="L179" s="40" t="n">
        <v>0</v>
      </c>
      <c r="M179" s="40" t="n">
        <v>0</v>
      </c>
      <c r="N179" s="41" t="n">
        <v>0.08</v>
      </c>
    </row>
    <row r="180">
      <c r="A180" s="50" t="n">
        <v>176</v>
      </c>
      <c r="B180" s="51" t="inlineStr">
        <is>
          <t>K.J. Osborn</t>
        </is>
      </c>
      <c r="C180" s="50" t="inlineStr">
        <is>
          <t>TEN</t>
        </is>
      </c>
      <c r="D180" s="50" t="inlineStr">
        <is>
          <t>CIN</t>
        </is>
      </c>
      <c r="E180" s="52" t="n">
        <v>4000</v>
      </c>
      <c r="F180" s="53" t="n"/>
      <c r="G180" s="53" t="n"/>
      <c r="H180" s="53" t="n"/>
      <c r="I180" s="53">
        <f>IF(OR(ISBLANK(G180), NOT(ISNUMBER(G180))), "", IF(G180 &lt; 0, -G180 / (-G180 + 100), 100 / (G180 + 100)))</f>
        <v/>
      </c>
      <c r="J180" s="40" t="n">
        <v>0</v>
      </c>
      <c r="K180" s="40" t="n">
        <v>0</v>
      </c>
      <c r="L180" s="40" t="n">
        <v>0</v>
      </c>
      <c r="M180" s="40" t="n">
        <v>0</v>
      </c>
      <c r="N180" s="41" t="n">
        <v>0.08</v>
      </c>
    </row>
    <row r="181">
      <c r="A181" s="50" t="n">
        <v>177</v>
      </c>
      <c r="B181" s="51" t="inlineStr">
        <is>
          <t>Jalen Reagor</t>
        </is>
      </c>
      <c r="C181" s="50" t="inlineStr">
        <is>
          <t>MIA</t>
        </is>
      </c>
      <c r="D181" s="50" t="inlineStr">
        <is>
          <t>NE</t>
        </is>
      </c>
      <c r="E181" s="52" t="n">
        <v>4000</v>
      </c>
      <c r="F181" s="53" t="n"/>
      <c r="G181" s="53" t="n"/>
      <c r="H181" s="53" t="n"/>
      <c r="I181" s="53">
        <f>IF(OR(ISBLANK(G181), NOT(ISNUMBER(G181))), "", IF(G181 &lt; 0, -G181 / (-G181 + 100), 100 / (G181 + 100)))</f>
        <v/>
      </c>
      <c r="J181" s="40" t="n">
        <v>0</v>
      </c>
      <c r="K181" s="40" t="n">
        <v>0</v>
      </c>
      <c r="L181" s="40" t="n">
        <v>0</v>
      </c>
      <c r="M181" s="40" t="n">
        <v>0</v>
      </c>
      <c r="N181" s="41" t="n">
        <v>0.08</v>
      </c>
    </row>
    <row r="182">
      <c r="A182" s="50" t="n">
        <v>178</v>
      </c>
      <c r="B182" s="51" t="inlineStr">
        <is>
          <t>Vinny Anthony II</t>
        </is>
      </c>
      <c r="C182" s="50" t="inlineStr">
        <is>
          <t>ATL</t>
        </is>
      </c>
      <c r="D182" s="50" t="inlineStr">
        <is>
          <t>TB</t>
        </is>
      </c>
      <c r="E182" s="52" t="n">
        <v>4000</v>
      </c>
      <c r="F182" s="53" t="n"/>
      <c r="G182" s="53" t="n"/>
      <c r="H182" s="53" t="n"/>
      <c r="I182" s="53">
        <f>IF(OR(ISBLANK(G182), NOT(ISNUMBER(G182))), "", IF(G182 &lt; 0, -G182 / (-G182 + 100), 100 / (G182 + 100)))</f>
        <v/>
      </c>
      <c r="J182" s="40" t="n">
        <v>0</v>
      </c>
      <c r="K182" s="40" t="n">
        <v>0</v>
      </c>
      <c r="L182" s="40" t="n">
        <v>0</v>
      </c>
      <c r="M182" s="40" t="n">
        <v>0</v>
      </c>
      <c r="N182" s="41" t="n">
        <v>0.08</v>
      </c>
    </row>
    <row r="183">
      <c r="A183" s="50" t="n">
        <v>179</v>
      </c>
      <c r="B183" s="51" t="inlineStr">
        <is>
          <t>Tyren Montgomery</t>
        </is>
      </c>
      <c r="C183" s="50" t="inlineStr">
        <is>
          <t>TEN</t>
        </is>
      </c>
      <c r="D183" s="50" t="inlineStr">
        <is>
          <t>CIN</t>
        </is>
      </c>
      <c r="E183" s="52" t="n">
        <v>4000</v>
      </c>
      <c r="F183" s="53" t="n"/>
      <c r="G183" s="53" t="n"/>
      <c r="H183" s="53" t="n"/>
      <c r="I183" s="53">
        <f>IF(OR(ISBLANK(G183), NOT(ISNUMBER(G183))), "", IF(G183 &lt; 0, -G183 / (-G183 + 100), 100 / (G183 + 100)))</f>
        <v/>
      </c>
      <c r="J183" s="40" t="n">
        <v>0</v>
      </c>
      <c r="K183" s="40" t="n">
        <v>0</v>
      </c>
      <c r="L183" s="40" t="n">
        <v>0</v>
      </c>
      <c r="M183" s="40" t="n">
        <v>0</v>
      </c>
      <c r="N183" s="41" t="n">
        <v>0.08</v>
      </c>
    </row>
    <row r="184">
      <c r="A184" s="50" t="n">
        <v>180</v>
      </c>
      <c r="B184" s="51" t="inlineStr">
        <is>
          <t>Michael Briscoe</t>
        </is>
      </c>
      <c r="C184" s="50" t="inlineStr">
        <is>
          <t>MIN</t>
        </is>
      </c>
      <c r="D184" s="50" t="inlineStr">
        <is>
          <t>DET</t>
        </is>
      </c>
      <c r="E184" s="52" t="n">
        <v>4000</v>
      </c>
      <c r="F184" s="53" t="n"/>
      <c r="G184" s="53" t="n"/>
      <c r="H184" s="53" t="n"/>
      <c r="I184" s="53">
        <f>IF(OR(ISBLANK(G184), NOT(ISNUMBER(G184))), "", IF(G184 &lt; 0, -G184 / (-G184 + 100), 100 / (G184 + 100)))</f>
        <v/>
      </c>
      <c r="J184" s="40" t="n">
        <v>0</v>
      </c>
      <c r="K184" s="40" t="n">
        <v>0</v>
      </c>
      <c r="L184" s="40" t="n">
        <v>0</v>
      </c>
      <c r="M184" s="40" t="n">
        <v>0</v>
      </c>
      <c r="N184" s="41" t="n">
        <v>0.08</v>
      </c>
    </row>
    <row r="185">
      <c r="A185" s="50" t="n">
        <v>181</v>
      </c>
      <c r="B185" s="51" t="inlineStr">
        <is>
          <t>Lucky Jackson</t>
        </is>
      </c>
      <c r="C185" s="50" t="inlineStr">
        <is>
          <t>DET</t>
        </is>
      </c>
      <c r="D185" s="50" t="inlineStr">
        <is>
          <t>MIN</t>
        </is>
      </c>
      <c r="E185" s="52" t="n">
        <v>4000</v>
      </c>
      <c r="F185" s="53" t="n"/>
      <c r="G185" s="53" t="n"/>
      <c r="H185" s="53" t="n"/>
      <c r="I185" s="53">
        <f>IF(OR(ISBLANK(G185), NOT(ISNUMBER(G185))), "", IF(G185 &lt; 0, -G185 / (-G185 + 100), 100 / (G185 + 100)))</f>
        <v/>
      </c>
      <c r="J185" s="40" t="n">
        <v>0</v>
      </c>
      <c r="K185" s="40" t="n">
        <v>0</v>
      </c>
      <c r="L185" s="40" t="n">
        <v>0</v>
      </c>
      <c r="M185" s="40" t="n">
        <v>0</v>
      </c>
      <c r="N185" s="41" t="n">
        <v>0.08</v>
      </c>
    </row>
    <row r="186">
      <c r="A186" s="50" t="n">
        <v>182</v>
      </c>
      <c r="B186" s="51" t="inlineStr">
        <is>
          <t>Michael Wortham</t>
        </is>
      </c>
      <c r="C186" s="50" t="inlineStr">
        <is>
          <t>JAC</t>
        </is>
      </c>
      <c r="D186" s="50" t="inlineStr">
        <is>
          <t>IND</t>
        </is>
      </c>
      <c r="E186" s="52" t="n">
        <v>4000</v>
      </c>
      <c r="F186" s="53" t="n"/>
      <c r="G186" s="53" t="n"/>
      <c r="H186" s="53" t="n"/>
      <c r="I186" s="53">
        <f>IF(OR(ISBLANK(G186), NOT(ISNUMBER(G186))), "", IF(G186 &lt; 0, -G186 / (-G186 + 100), 100 / (G186 + 100)))</f>
        <v/>
      </c>
      <c r="J186" s="40" t="n">
        <v>0</v>
      </c>
      <c r="K186" s="40" t="n">
        <v>0</v>
      </c>
      <c r="L186" s="40" t="n">
        <v>0</v>
      </c>
      <c r="M186" s="40" t="n">
        <v>0</v>
      </c>
      <c r="N186" s="41" t="n">
        <v>0.08</v>
      </c>
    </row>
    <row r="187">
      <c r="A187" s="50" t="n">
        <v>183</v>
      </c>
      <c r="B187" s="51" t="inlineStr">
        <is>
          <t>Dane Key</t>
        </is>
      </c>
      <c r="C187" s="50" t="inlineStr">
        <is>
          <t>DEN</t>
        </is>
      </c>
      <c r="D187" s="50" t="inlineStr">
        <is>
          <t>KC</t>
        </is>
      </c>
      <c r="E187" s="52" t="n">
        <v>4000</v>
      </c>
      <c r="F187" s="53" t="n"/>
      <c r="G187" s="53" t="n"/>
      <c r="H187" s="53" t="n"/>
      <c r="I187" s="53">
        <f>IF(OR(ISBLANK(G187), NOT(ISNUMBER(G187))), "", IF(G187 &lt; 0, -G187 / (-G187 + 100), 100 / (G187 + 100)))</f>
        <v/>
      </c>
      <c r="J187" s="40" t="n">
        <v>0</v>
      </c>
      <c r="K187" s="40" t="n">
        <v>0</v>
      </c>
      <c r="L187" s="40" t="n">
        <v>0</v>
      </c>
      <c r="M187" s="40" t="n">
        <v>0</v>
      </c>
      <c r="N187" s="41" t="n">
        <v>0.08</v>
      </c>
    </row>
    <row r="188">
      <c r="A188" s="50" t="n">
        <v>184</v>
      </c>
      <c r="B188" s="51" t="inlineStr">
        <is>
          <t>Dillon Bell</t>
        </is>
      </c>
      <c r="C188" s="50" t="inlineStr">
        <is>
          <t>MIN</t>
        </is>
      </c>
      <c r="D188" s="50" t="inlineStr">
        <is>
          <t>DET</t>
        </is>
      </c>
      <c r="E188" s="52" t="n">
        <v>4000</v>
      </c>
      <c r="F188" s="53" t="n"/>
      <c r="G188" s="53" t="n"/>
      <c r="H188" s="53" t="n"/>
      <c r="I188" s="53">
        <f>IF(OR(ISBLANK(G188), NOT(ISNUMBER(G188))), "", IF(G188 &lt; 0, -G188 / (-G188 + 100), 100 / (G188 + 100)))</f>
        <v/>
      </c>
      <c r="J188" s="40" t="n">
        <v>0</v>
      </c>
      <c r="K188" s="40" t="n">
        <v>0</v>
      </c>
      <c r="L188" s="40" t="n">
        <v>0</v>
      </c>
      <c r="M188" s="40" t="n">
        <v>0</v>
      </c>
      <c r="N188" s="41" t="n">
        <v>0.08</v>
      </c>
    </row>
    <row r="189">
      <c r="A189" s="50" t="n">
        <v>185</v>
      </c>
      <c r="B189" s="51" t="inlineStr">
        <is>
          <t>Brandon Johnson</t>
        </is>
      </c>
      <c r="C189" s="50" t="inlineStr">
        <is>
          <t>PIT</t>
        </is>
      </c>
      <c r="D189" s="50" t="inlineStr">
        <is>
          <t>CLE</t>
        </is>
      </c>
      <c r="E189" s="52" t="n">
        <v>4000</v>
      </c>
      <c r="F189" s="53" t="n"/>
      <c r="G189" s="53" t="n"/>
      <c r="H189" s="53" t="n"/>
      <c r="I189" s="53">
        <f>IF(OR(ISBLANK(G189), NOT(ISNUMBER(G189))), "", IF(G189 &lt; 0, -G189 / (-G189 + 100), 100 / (G189 + 100)))</f>
        <v/>
      </c>
      <c r="J189" s="40" t="n">
        <v>0</v>
      </c>
      <c r="K189" s="40" t="n">
        <v>0</v>
      </c>
      <c r="L189" s="40" t="n">
        <v>0</v>
      </c>
      <c r="M189" s="40" t="n">
        <v>0</v>
      </c>
      <c r="N189" s="41" t="n">
        <v>0.08</v>
      </c>
    </row>
    <row r="190">
      <c r="A190" s="50" t="n">
        <v>186</v>
      </c>
      <c r="B190" s="51" t="inlineStr">
        <is>
          <t>Gary Jennings</t>
        </is>
      </c>
      <c r="C190" s="50" t="inlineStr">
        <is>
          <t>LAC</t>
        </is>
      </c>
      <c r="D190" s="50" t="inlineStr">
        <is>
          <t>LAR</t>
        </is>
      </c>
      <c r="E190" s="52" t="n">
        <v>4000</v>
      </c>
      <c r="F190" s="53" t="n"/>
      <c r="G190" s="53" t="n"/>
      <c r="H190" s="53" t="n"/>
      <c r="I190" s="53">
        <f>IF(OR(ISBLANK(G190), NOT(ISNUMBER(G190))), "", IF(G190 &lt; 0, -G190 / (-G190 + 100), 100 / (G190 + 100)))</f>
        <v/>
      </c>
      <c r="J190" s="40" t="n">
        <v>0</v>
      </c>
      <c r="K190" s="40" t="n">
        <v>0</v>
      </c>
      <c r="L190" s="40" t="n">
        <v>0</v>
      </c>
      <c r="M190" s="40" t="n">
        <v>0</v>
      </c>
      <c r="N190" s="41" t="n">
        <v>0.08</v>
      </c>
    </row>
    <row r="191">
      <c r="A191" s="50" t="n">
        <v>187</v>
      </c>
      <c r="B191" s="51" t="inlineStr">
        <is>
          <t>Cameron Dorner</t>
        </is>
      </c>
      <c r="C191" s="50" t="inlineStr">
        <is>
          <t>NE</t>
        </is>
      </c>
      <c r="D191" s="50" t="inlineStr">
        <is>
          <t>MIA</t>
        </is>
      </c>
      <c r="E191" s="52" t="n">
        <v>4000</v>
      </c>
      <c r="F191" s="53" t="n"/>
      <c r="G191" s="53" t="n"/>
      <c r="H191" s="53" t="n"/>
      <c r="I191" s="53">
        <f>IF(OR(ISBLANK(G191), NOT(ISNUMBER(G191))), "", IF(G191 &lt; 0, -G191 / (-G191 + 100), 100 / (G191 + 100)))</f>
        <v/>
      </c>
      <c r="J191" s="40" t="n">
        <v>0</v>
      </c>
      <c r="K191" s="40" t="n">
        <v>0</v>
      </c>
      <c r="L191" s="40" t="n">
        <v>0</v>
      </c>
      <c r="M191" s="40" t="n">
        <v>0</v>
      </c>
      <c r="N191" s="41" t="n">
        <v>0.08</v>
      </c>
    </row>
    <row r="192">
      <c r="A192" s="50" t="n">
        <v>188</v>
      </c>
      <c r="B192" s="51" t="inlineStr">
        <is>
          <t>Will Sheppard</t>
        </is>
      </c>
      <c r="C192" s="50" t="inlineStr">
        <is>
          <t>MIA</t>
        </is>
      </c>
      <c r="D192" s="50" t="inlineStr">
        <is>
          <t>NE</t>
        </is>
      </c>
      <c r="E192" s="52" t="n">
        <v>4000</v>
      </c>
      <c r="F192" s="53" t="n"/>
      <c r="G192" s="53" t="n"/>
      <c r="H192" s="53" t="n"/>
      <c r="I192" s="53">
        <f>IF(OR(ISBLANK(G192), NOT(ISNUMBER(G192))), "", IF(G192 &lt; 0, -G192 / (-G192 + 100), 100 / (G192 + 100)))</f>
        <v/>
      </c>
      <c r="J192" s="40" t="n">
        <v>0</v>
      </c>
      <c r="K192" s="40" t="n">
        <v>0</v>
      </c>
      <c r="L192" s="40" t="n">
        <v>0</v>
      </c>
      <c r="M192" s="40" t="n">
        <v>0</v>
      </c>
      <c r="N192" s="41" t="n">
        <v>0.08</v>
      </c>
    </row>
    <row r="193">
      <c r="A193" s="50" t="n">
        <v>189</v>
      </c>
      <c r="B193" s="51" t="inlineStr">
        <is>
          <t>Antwane Wells Jr.</t>
        </is>
      </c>
      <c r="C193" s="50" t="inlineStr">
        <is>
          <t>ATL</t>
        </is>
      </c>
      <c r="D193" s="50" t="inlineStr">
        <is>
          <t>TB</t>
        </is>
      </c>
      <c r="E193" s="52" t="n">
        <v>4000</v>
      </c>
      <c r="F193" s="53" t="n"/>
      <c r="G193" s="53" t="n"/>
      <c r="H193" s="53" t="n"/>
      <c r="I193" s="53">
        <f>IF(OR(ISBLANK(G193), NOT(ISNUMBER(G193))), "", IF(G193 &lt; 0, -G193 / (-G193 + 100), 100 / (G193 + 100)))</f>
        <v/>
      </c>
      <c r="J193" s="40" t="n">
        <v>0</v>
      </c>
      <c r="K193" s="40" t="n">
        <v>0</v>
      </c>
      <c r="L193" s="40" t="n">
        <v>0</v>
      </c>
      <c r="M193" s="40" t="n">
        <v>0</v>
      </c>
      <c r="N193" s="41" t="n">
        <v>0.08</v>
      </c>
    </row>
    <row r="194">
      <c r="A194" s="50" t="n">
        <v>190</v>
      </c>
      <c r="B194" s="51" t="inlineStr">
        <is>
          <t>Luke Grimm</t>
        </is>
      </c>
      <c r="C194" s="50" t="inlineStr">
        <is>
          <t>LAC</t>
        </is>
      </c>
      <c r="D194" s="50" t="inlineStr">
        <is>
          <t>LAR</t>
        </is>
      </c>
      <c r="E194" s="52" t="n">
        <v>4000</v>
      </c>
      <c r="F194" s="53" t="n"/>
      <c r="G194" s="53" t="n"/>
      <c r="H194" s="53" t="n"/>
      <c r="I194" s="53">
        <f>IF(OR(ISBLANK(G194), NOT(ISNUMBER(G194))), "", IF(G194 &lt; 0, -G194 / (-G194 + 100), 100 / (G194 + 100)))</f>
        <v/>
      </c>
      <c r="J194" s="40" t="n">
        <v>0</v>
      </c>
      <c r="K194" s="40" t="n">
        <v>0</v>
      </c>
      <c r="L194" s="40" t="n">
        <v>0</v>
      </c>
      <c r="M194" s="40" t="n">
        <v>0</v>
      </c>
      <c r="N194" s="41" t="n">
        <v>0.08</v>
      </c>
    </row>
    <row r="195">
      <c r="A195" s="50" t="n">
        <v>191</v>
      </c>
      <c r="B195" s="51" t="inlineStr">
        <is>
          <t>Brennan Presley</t>
        </is>
      </c>
      <c r="C195" s="50" t="inlineStr">
        <is>
          <t>LAR</t>
        </is>
      </c>
      <c r="D195" s="50" t="inlineStr">
        <is>
          <t>LAC</t>
        </is>
      </c>
      <c r="E195" s="52" t="n">
        <v>4000</v>
      </c>
      <c r="F195" s="53" t="n"/>
      <c r="G195" s="53" t="n"/>
      <c r="H195" s="53" t="n"/>
      <c r="I195" s="53">
        <f>IF(OR(ISBLANK(G195), NOT(ISNUMBER(G195))), "", IF(G195 &lt; 0, -G195 / (-G195 + 100), 100 / (G195 + 100)))</f>
        <v/>
      </c>
      <c r="J195" s="40" t="n">
        <v>0</v>
      </c>
      <c r="K195" s="40" t="n">
        <v>0</v>
      </c>
      <c r="L195" s="40" t="n">
        <v>0</v>
      </c>
      <c r="M195" s="40" t="n">
        <v>0</v>
      </c>
      <c r="N195" s="41" t="n">
        <v>0.08</v>
      </c>
    </row>
    <row r="196">
      <c r="A196" s="50" t="n">
        <v>192</v>
      </c>
      <c r="B196" s="51" t="inlineStr">
        <is>
          <t>Jordan Moore</t>
        </is>
      </c>
      <c r="C196" s="50" t="inlineStr">
        <is>
          <t>CIN</t>
        </is>
      </c>
      <c r="D196" s="50" t="inlineStr">
        <is>
          <t>TEN</t>
        </is>
      </c>
      <c r="E196" s="52" t="n">
        <v>4000</v>
      </c>
      <c r="F196" s="53" t="n"/>
      <c r="G196" s="53" t="n"/>
      <c r="H196" s="53" t="n"/>
      <c r="I196" s="53">
        <f>IF(OR(ISBLANK(G196), NOT(ISNUMBER(G196))), "", IF(G196 &lt; 0, -G196 / (-G196 + 100), 100 / (G196 + 100)))</f>
        <v/>
      </c>
      <c r="J196" s="40" t="n">
        <v>0</v>
      </c>
      <c r="K196" s="40" t="n">
        <v>0</v>
      </c>
      <c r="L196" s="40" t="n">
        <v>0</v>
      </c>
      <c r="M196" s="40" t="n">
        <v>0</v>
      </c>
      <c r="N196" s="41" t="n">
        <v>0.08</v>
      </c>
    </row>
    <row r="197">
      <c r="A197" s="50" t="n">
        <v>193</v>
      </c>
      <c r="B197" s="51" t="inlineStr">
        <is>
          <t>AJ Henning</t>
        </is>
      </c>
      <c r="C197" s="50" t="inlineStr">
        <is>
          <t>MIA</t>
        </is>
      </c>
      <c r="D197" s="50" t="inlineStr">
        <is>
          <t>NE</t>
        </is>
      </c>
      <c r="E197" s="52" t="n">
        <v>4000</v>
      </c>
      <c r="F197" s="53" t="n"/>
      <c r="G197" s="55" t="n"/>
      <c r="H197" s="53" t="n"/>
      <c r="I197" s="40" t="n">
        <v>0.0435</v>
      </c>
      <c r="J197" s="40" t="n">
        <v>0</v>
      </c>
      <c r="K197" s="40" t="n">
        <v>0</v>
      </c>
      <c r="L197" s="40" t="n">
        <v>0</v>
      </c>
      <c r="M197" s="40" t="n">
        <v>0</v>
      </c>
      <c r="N197" s="41" t="n">
        <v>0.08</v>
      </c>
    </row>
    <row r="198">
      <c r="A198" s="50" t="n">
        <v>194</v>
      </c>
      <c r="B198" s="51" t="inlineStr">
        <is>
          <t>Anthony Smith</t>
        </is>
      </c>
      <c r="C198" s="50" t="inlineStr">
        <is>
          <t>DAL</t>
        </is>
      </c>
      <c r="D198" s="50" t="inlineStr">
        <is>
          <t>ARI</t>
        </is>
      </c>
      <c r="E198" s="52" t="n">
        <v>4000</v>
      </c>
      <c r="F198" s="53" t="n"/>
      <c r="G198" s="53" t="n"/>
      <c r="H198" s="53" t="n"/>
      <c r="I198" s="53">
        <f>IF(OR(ISBLANK(G198), NOT(ISNUMBER(G198))), "", IF(G198 &lt; 0, -G198 / (-G198 + 100), 100 / (G198 + 100)))</f>
        <v/>
      </c>
      <c r="J198" s="40" t="n">
        <v>0</v>
      </c>
      <c r="K198" s="40" t="n">
        <v>0</v>
      </c>
      <c r="L198" s="40" t="n">
        <v>0</v>
      </c>
      <c r="M198" s="40" t="n">
        <v>0</v>
      </c>
      <c r="N198" s="41" t="n">
        <v>0.08</v>
      </c>
    </row>
    <row r="199">
      <c r="A199" s="50" t="n">
        <v>195</v>
      </c>
      <c r="B199" s="51" t="inlineStr">
        <is>
          <t>Cole Burgess</t>
        </is>
      </c>
      <c r="C199" s="50" t="inlineStr">
        <is>
          <t>PIT</t>
        </is>
      </c>
      <c r="D199" s="50" t="inlineStr">
        <is>
          <t>CLE</t>
        </is>
      </c>
      <c r="E199" s="52" t="n">
        <v>4000</v>
      </c>
      <c r="F199" s="53" t="n"/>
      <c r="G199" s="53" t="n"/>
      <c r="H199" s="53" t="n"/>
      <c r="I199" s="53">
        <f>IF(OR(ISBLANK(G199), NOT(ISNUMBER(G199))), "", IF(G199 &lt; 0, -G199 / (-G199 + 100), 100 / (G199 + 100)))</f>
        <v/>
      </c>
      <c r="J199" s="40" t="n">
        <v>0</v>
      </c>
      <c r="K199" s="40" t="n">
        <v>0</v>
      </c>
      <c r="L199" s="40" t="n">
        <v>0</v>
      </c>
      <c r="M199" s="40" t="n">
        <v>0</v>
      </c>
      <c r="N199" s="41" t="n">
        <v>0.08</v>
      </c>
    </row>
    <row r="200">
      <c r="A200" s="50" t="n">
        <v>196</v>
      </c>
      <c r="B200" s="51" t="inlineStr">
        <is>
          <t>Ja'Mori Maclin</t>
        </is>
      </c>
      <c r="C200" s="50" t="inlineStr">
        <is>
          <t>BUF</t>
        </is>
      </c>
      <c r="D200" s="50" t="inlineStr">
        <is>
          <t>BAL</t>
        </is>
      </c>
      <c r="E200" s="52" t="n">
        <v>4000</v>
      </c>
      <c r="F200" s="53" t="n"/>
      <c r="G200" s="53" t="n"/>
      <c r="H200" s="53" t="n"/>
      <c r="I200" s="53">
        <f>IF(OR(ISBLANK(G200), NOT(ISNUMBER(G200))), "", IF(G200 &lt; 0, -G200 / (-G200 + 100), 100 / (G200 + 100)))</f>
        <v/>
      </c>
      <c r="J200" s="40" t="n">
        <v>0</v>
      </c>
      <c r="K200" s="40" t="n">
        <v>0</v>
      </c>
      <c r="L200" s="40" t="n">
        <v>0</v>
      </c>
      <c r="M200" s="40" t="n">
        <v>0</v>
      </c>
      <c r="N200" s="41" t="n">
        <v>0.08</v>
      </c>
    </row>
    <row r="201">
      <c r="A201" s="50" t="n">
        <v>197</v>
      </c>
      <c r="B201" s="51" t="inlineStr">
        <is>
          <t>Trebor Pena</t>
        </is>
      </c>
      <c r="C201" s="50" t="inlineStr">
        <is>
          <t>JAC</t>
        </is>
      </c>
      <c r="D201" s="50" t="inlineStr">
        <is>
          <t>IND</t>
        </is>
      </c>
      <c r="E201" s="52" t="n">
        <v>4000</v>
      </c>
      <c r="F201" s="53" t="n"/>
      <c r="G201" s="53" t="n"/>
      <c r="H201" s="53" t="n"/>
      <c r="I201" s="53">
        <f>IF(OR(ISBLANK(G201), NOT(ISNUMBER(G201))), "", IF(G201 &lt; 0, -G201 / (-G201 + 100), 100 / (G201 + 100)))</f>
        <v/>
      </c>
      <c r="J201" s="40" t="n">
        <v>0</v>
      </c>
      <c r="K201" s="40" t="n">
        <v>0</v>
      </c>
      <c r="L201" s="40" t="n">
        <v>0</v>
      </c>
      <c r="M201" s="40" t="n">
        <v>0</v>
      </c>
      <c r="N201" s="41" t="n">
        <v>0.08</v>
      </c>
    </row>
    <row r="202">
      <c r="A202" s="50" t="n">
        <v>198</v>
      </c>
      <c r="B202" s="51" t="inlineStr">
        <is>
          <t>Garrett Greene</t>
        </is>
      </c>
      <c r="C202" s="50" t="inlineStr">
        <is>
          <t>TB</t>
        </is>
      </c>
      <c r="D202" s="50" t="inlineStr">
        <is>
          <t>ATL</t>
        </is>
      </c>
      <c r="E202" s="52" t="n">
        <v>4000</v>
      </c>
      <c r="F202" s="53" t="n"/>
      <c r="G202" s="53" t="n"/>
      <c r="H202" s="53" t="n"/>
      <c r="I202" s="53">
        <f>IF(OR(ISBLANK(G202), NOT(ISNUMBER(G202))), "", IF(G202 &lt; 0, -G202 / (-G202 + 100), 100 / (G202 + 100)))</f>
        <v/>
      </c>
      <c r="J202" s="40" t="n">
        <v>0</v>
      </c>
      <c r="K202" s="40" t="n">
        <v>0</v>
      </c>
      <c r="L202" s="40" t="n">
        <v>0</v>
      </c>
      <c r="M202" s="40" t="n">
        <v>0</v>
      </c>
      <c r="N202" s="41" t="n">
        <v>0.08</v>
      </c>
    </row>
    <row r="203">
      <c r="A203" s="50" t="n">
        <v>199</v>
      </c>
      <c r="B203" s="51" t="inlineStr">
        <is>
          <t>Kendrick Law</t>
        </is>
      </c>
      <c r="C203" s="50" t="inlineStr">
        <is>
          <t>DET</t>
        </is>
      </c>
      <c r="D203" s="50" t="inlineStr">
        <is>
          <t>MIN</t>
        </is>
      </c>
      <c r="E203" s="52" t="n">
        <v>4000</v>
      </c>
      <c r="F203" s="53" t="n"/>
      <c r="G203" s="53" t="n"/>
      <c r="H203" s="53" t="n"/>
      <c r="I203" s="53">
        <f>IF(OR(ISBLANK(G203), NOT(ISNUMBER(G203))), "", IF(G203 &lt; 0, -G203 / (-G203 + 100), 100 / (G203 + 100)))</f>
        <v/>
      </c>
      <c r="J203" s="40" t="n">
        <v>0</v>
      </c>
      <c r="K203" s="40" t="n">
        <v>0</v>
      </c>
      <c r="L203" s="40" t="n">
        <v>0</v>
      </c>
      <c r="M203" s="40" t="n">
        <v>0</v>
      </c>
      <c r="N203" s="41" t="n">
        <v>0.08</v>
      </c>
    </row>
    <row r="204">
      <c r="A204" s="50" t="n">
        <v>200</v>
      </c>
      <c r="B204" s="51" t="inlineStr">
        <is>
          <t>Noah Thomas</t>
        </is>
      </c>
      <c r="C204" s="50" t="inlineStr">
        <is>
          <t>CIN</t>
        </is>
      </c>
      <c r="D204" s="50" t="inlineStr">
        <is>
          <t>TEN</t>
        </is>
      </c>
      <c r="E204" s="52" t="n">
        <v>4000</v>
      </c>
      <c r="F204" s="53" t="n"/>
      <c r="G204" s="53" t="n"/>
      <c r="H204" s="53" t="n"/>
      <c r="I204" s="53">
        <f>IF(OR(ISBLANK(G204), NOT(ISNUMBER(G204))), "", IF(G204 &lt; 0, -G204 / (-G204 + 100), 100 / (G204 + 100)))</f>
        <v/>
      </c>
      <c r="J204" s="40" t="n">
        <v>0</v>
      </c>
      <c r="K204" s="40" t="n">
        <v>0</v>
      </c>
      <c r="L204" s="40" t="n">
        <v>0</v>
      </c>
      <c r="M204" s="40" t="n">
        <v>0</v>
      </c>
      <c r="N204" s="41" t="n">
        <v>0.08</v>
      </c>
    </row>
    <row r="205">
      <c r="A205" s="50" t="n">
        <v>201</v>
      </c>
      <c r="B205" s="51" t="inlineStr">
        <is>
          <t>Jimmy Holiday</t>
        </is>
      </c>
      <c r="C205" s="50" t="inlineStr">
        <is>
          <t>KC</t>
        </is>
      </c>
      <c r="D205" s="50" t="inlineStr">
        <is>
          <t>DEN</t>
        </is>
      </c>
      <c r="E205" s="52" t="n">
        <v>4000</v>
      </c>
      <c r="F205" s="53" t="n"/>
      <c r="G205" s="53" t="n"/>
      <c r="H205" s="53" t="n"/>
      <c r="I205" s="53">
        <f>IF(OR(ISBLANK(G205), NOT(ISNUMBER(G205))), "", IF(G205 &lt; 0, -G205 / (-G205 + 100), 100 / (G205 + 100)))</f>
        <v/>
      </c>
      <c r="J205" s="40" t="n">
        <v>0</v>
      </c>
      <c r="K205" s="40" t="n">
        <v>0</v>
      </c>
      <c r="L205" s="40" t="n">
        <v>0</v>
      </c>
      <c r="M205" s="40" t="n">
        <v>0</v>
      </c>
      <c r="N205" s="41" t="n">
        <v>0.08</v>
      </c>
    </row>
    <row r="206">
      <c r="A206" s="50" t="n">
        <v>202</v>
      </c>
      <c r="B206" s="51" t="inlineStr">
        <is>
          <t>Quez Watkins</t>
        </is>
      </c>
      <c r="C206" s="50" t="inlineStr">
        <is>
          <t>IND</t>
        </is>
      </c>
      <c r="D206" s="50" t="inlineStr">
        <is>
          <t>JAC</t>
        </is>
      </c>
      <c r="E206" s="52" t="n">
        <v>4000</v>
      </c>
      <c r="F206" s="53" t="n"/>
      <c r="G206" s="53" t="n"/>
      <c r="H206" s="53" t="n"/>
      <c r="I206" s="53">
        <f>IF(OR(ISBLANK(G206), NOT(ISNUMBER(G206))), "", IF(G206 &lt; 0, -G206 / (-G206 + 100), 100 / (G206 + 100)))</f>
        <v/>
      </c>
      <c r="J206" s="40" t="n">
        <v>0</v>
      </c>
      <c r="K206" s="40" t="n">
        <v>0</v>
      </c>
      <c r="L206" s="40" t="n">
        <v>0</v>
      </c>
      <c r="M206" s="40" t="n">
        <v>0</v>
      </c>
      <c r="N206" s="41" t="n">
        <v>0.08</v>
      </c>
    </row>
    <row r="207">
      <c r="A207" s="50" t="n">
        <v>203</v>
      </c>
      <c r="B207" s="51" t="inlineStr">
        <is>
          <t>Cameron Ross</t>
        </is>
      </c>
      <c r="C207" s="50" t="inlineStr">
        <is>
          <t>DEN</t>
        </is>
      </c>
      <c r="D207" s="50" t="inlineStr">
        <is>
          <t>KC</t>
        </is>
      </c>
      <c r="E207" s="52" t="n">
        <v>4000</v>
      </c>
      <c r="F207" s="53" t="n"/>
      <c r="G207" s="55" t="n"/>
      <c r="H207" s="53" t="n"/>
      <c r="I207" s="40" t="n">
        <v>0.0244</v>
      </c>
      <c r="J207" s="40" t="n">
        <v>0</v>
      </c>
      <c r="K207" s="40" t="n">
        <v>0</v>
      </c>
      <c r="L207" s="40" t="n">
        <v>0</v>
      </c>
      <c r="M207" s="40" t="n">
        <v>0</v>
      </c>
      <c r="N207" s="41" t="n">
        <v>0.08</v>
      </c>
    </row>
    <row r="208">
      <c r="A208" s="50" t="n">
        <v>204</v>
      </c>
      <c r="B208" s="51" t="inlineStr">
        <is>
          <t>Lawrence Keys III</t>
        </is>
      </c>
      <c r="C208" s="50" t="inlineStr">
        <is>
          <t>DET</t>
        </is>
      </c>
      <c r="D208" s="50" t="inlineStr">
        <is>
          <t>MIN</t>
        </is>
      </c>
      <c r="E208" s="52" t="n">
        <v>4000</v>
      </c>
      <c r="F208" s="40" t="n"/>
      <c r="G208" s="55" t="n"/>
      <c r="H208" s="40" t="n"/>
      <c r="I208" s="40" t="n">
        <v>0.1143</v>
      </c>
      <c r="J208" s="40" t="n">
        <v>0</v>
      </c>
      <c r="K208" s="40" t="n">
        <v>0</v>
      </c>
      <c r="L208" s="40" t="n">
        <v>0</v>
      </c>
      <c r="M208" s="40" t="n">
        <v>0</v>
      </c>
      <c r="N208" s="41" t="n">
        <v>0.08</v>
      </c>
    </row>
    <row r="209">
      <c r="A209" s="50" t="n">
        <v>205</v>
      </c>
      <c r="B209" s="51" t="inlineStr">
        <is>
          <t>Omari Evans</t>
        </is>
      </c>
      <c r="C209" s="50" t="inlineStr">
        <is>
          <t>KC</t>
        </is>
      </c>
      <c r="D209" s="50" t="inlineStr">
        <is>
          <t>DEN</t>
        </is>
      </c>
      <c r="E209" s="52" t="n">
        <v>4000</v>
      </c>
      <c r="F209" s="53" t="n"/>
      <c r="G209" s="53" t="n"/>
      <c r="H209" s="53" t="n"/>
      <c r="I209" s="53">
        <f>IF(OR(ISBLANK(G209), NOT(ISNUMBER(G209))), "", IF(G209 &lt; 0, -G209 / (-G209 + 100), 100 / (G209 + 100)))</f>
        <v/>
      </c>
      <c r="J209" s="40" t="n">
        <v>0</v>
      </c>
      <c r="K209" s="40" t="n">
        <v>0</v>
      </c>
      <c r="L209" s="40" t="n">
        <v>0</v>
      </c>
      <c r="M209" s="40" t="n">
        <v>0</v>
      </c>
      <c r="N209" s="41" t="n">
        <v>0.08</v>
      </c>
    </row>
    <row r="210">
      <c r="A210" s="50" t="n">
        <v>205</v>
      </c>
      <c r="B210" s="51" t="inlineStr">
        <is>
          <t>Stephen Gosnell</t>
        </is>
      </c>
      <c r="C210" s="50" t="inlineStr">
        <is>
          <t>BUF</t>
        </is>
      </c>
      <c r="D210" s="50" t="inlineStr">
        <is>
          <t>LV</t>
        </is>
      </c>
      <c r="E210" s="52" t="n">
        <v>4000</v>
      </c>
      <c r="F210" s="53" t="n"/>
      <c r="G210" s="53" t="n"/>
      <c r="H210" s="53" t="n"/>
      <c r="I210" s="53">
        <f>IF(OR(ISBLANK(G210), NOT(ISNUMBER(G210))), "", IF(G210 &lt; 0, -G210 / (-G210 + 100), 100 / (G210 + 100)))</f>
        <v/>
      </c>
      <c r="J210" s="40" t="n">
        <v>0</v>
      </c>
      <c r="K210" s="40" t="n">
        <v>0</v>
      </c>
      <c r="L210" s="40" t="n">
        <v>0</v>
      </c>
      <c r="M210" s="40" t="n">
        <v>0</v>
      </c>
      <c r="N210" s="41" t="n">
        <v>0.08</v>
      </c>
    </row>
    <row r="211">
      <c r="A211" s="50" t="n">
        <v>206</v>
      </c>
      <c r="B211" s="51" t="inlineStr">
        <is>
          <t>Reggie Virgil</t>
        </is>
      </c>
      <c r="C211" s="50" t="inlineStr">
        <is>
          <t>ARI</t>
        </is>
      </c>
      <c r="D211" s="50" t="inlineStr">
        <is>
          <t>LAR</t>
        </is>
      </c>
      <c r="E211" s="52" t="n">
        <v>4300</v>
      </c>
      <c r="F211" s="53" t="n"/>
      <c r="G211" s="55" t="n">
        <v>600</v>
      </c>
      <c r="H211" s="53" t="n"/>
      <c r="I211" s="40" t="n">
        <v>0.1429</v>
      </c>
      <c r="J211" s="40" t="n">
        <v>0.86</v>
      </c>
      <c r="K211" s="40" t="n">
        <v>3.3</v>
      </c>
      <c r="L211" s="40" t="n">
        <v>1.83</v>
      </c>
      <c r="M211" s="40" t="n">
        <v>0.43</v>
      </c>
      <c r="N211" s="41" t="n">
        <v>0</v>
      </c>
    </row>
    <row r="212">
      <c r="A212" s="50" t="n">
        <v>207</v>
      </c>
      <c r="B212" s="51" t="inlineStr">
        <is>
          <t>Eric Rivers Jr.</t>
        </is>
      </c>
      <c r="C212" s="50" t="inlineStr">
        <is>
          <t>TB</t>
        </is>
      </c>
      <c r="D212" s="50" t="inlineStr">
        <is>
          <t>PIT</t>
        </is>
      </c>
      <c r="E212" s="52" t="n">
        <v>4000</v>
      </c>
      <c r="F212" s="53" t="n"/>
      <c r="G212" s="53" t="n"/>
      <c r="H212" s="53" t="n"/>
      <c r="I212" s="53">
        <f>IF(OR(ISBLANK(G212), NOT(ISNUMBER(G212))), "", IF(G212 &lt; 0, -G212 / (-G212 + 100), 100 / (G212 + 100)))</f>
        <v/>
      </c>
      <c r="J212" s="40" t="n">
        <v>0</v>
      </c>
      <c r="K212" s="40" t="n">
        <v>0</v>
      </c>
      <c r="L212" s="40" t="n">
        <v>0</v>
      </c>
      <c r="M212" s="40" t="n">
        <v>0</v>
      </c>
      <c r="N212" s="41" t="n">
        <v>0.08</v>
      </c>
    </row>
    <row r="213">
      <c r="A213" s="50" t="n">
        <v>208</v>
      </c>
      <c r="B213" s="51" t="inlineStr">
        <is>
          <t>K.J. Osborn</t>
        </is>
      </c>
      <c r="C213" s="50" t="inlineStr">
        <is>
          <t>TEN</t>
        </is>
      </c>
      <c r="D213" s="50" t="inlineStr">
        <is>
          <t>IND</t>
        </is>
      </c>
      <c r="E213" s="52" t="n">
        <v>4000</v>
      </c>
      <c r="F213" s="53" t="n"/>
      <c r="G213" s="53" t="n"/>
      <c r="H213" s="53" t="n"/>
      <c r="I213" s="53">
        <f>IF(OR(ISBLANK(G213), NOT(ISNUMBER(G213))), "", IF(G213 &lt; 0, -G213 / (-G213 + 100), 100 / (G213 + 100)))</f>
        <v/>
      </c>
      <c r="J213" s="40" t="n">
        <v>0</v>
      </c>
      <c r="K213" s="40" t="n">
        <v>0</v>
      </c>
      <c r="L213" s="40" t="n">
        <v>0</v>
      </c>
      <c r="M213" s="40" t="n">
        <v>0</v>
      </c>
      <c r="N213" s="41" t="n">
        <v>0.08</v>
      </c>
    </row>
    <row r="214">
      <c r="A214" s="50" t="n">
        <v>209</v>
      </c>
      <c r="B214" s="51" t="inlineStr">
        <is>
          <t>Julian Hicks</t>
        </is>
      </c>
      <c r="C214" s="50" t="inlineStr">
        <is>
          <t>SEA</t>
        </is>
      </c>
      <c r="D214" s="50" t="inlineStr">
        <is>
          <t>LAC</t>
        </is>
      </c>
      <c r="E214" s="52" t="n">
        <v>4000</v>
      </c>
      <c r="F214" s="53" t="n"/>
      <c r="G214" s="53" t="n"/>
      <c r="H214" s="53" t="n"/>
      <c r="I214" s="53">
        <f>IF(OR(ISBLANK(G214), NOT(ISNUMBER(G214))), "", IF(G214 &lt; 0, -G214 / (-G214 + 100), 100 / (G214 + 100)))</f>
        <v/>
      </c>
      <c r="J214" s="40" t="n">
        <v>0</v>
      </c>
      <c r="K214" s="40" t="n">
        <v>0</v>
      </c>
      <c r="L214" s="40" t="n">
        <v>0</v>
      </c>
      <c r="M214" s="40" t="n">
        <v>0</v>
      </c>
      <c r="N214" s="41" t="n">
        <v>0.08</v>
      </c>
    </row>
    <row r="215">
      <c r="A215" s="50" t="n">
        <v>210</v>
      </c>
      <c r="B215" s="51" t="inlineStr">
        <is>
          <t>Jalen Reagor</t>
        </is>
      </c>
      <c r="C215" s="50" t="inlineStr">
        <is>
          <t>MIA</t>
        </is>
      </c>
      <c r="D215" s="50" t="inlineStr">
        <is>
          <t>MIN</t>
        </is>
      </c>
      <c r="E215" s="52" t="n">
        <v>4000</v>
      </c>
      <c r="F215" s="53" t="n"/>
      <c r="G215" s="53" t="n"/>
      <c r="H215" s="53" t="n"/>
      <c r="I215" s="53">
        <f>IF(OR(ISBLANK(G215), NOT(ISNUMBER(G215))), "", IF(G215 &lt; 0, -G215 / (-G215 + 100), 100 / (G215 + 100)))</f>
        <v/>
      </c>
      <c r="J215" s="40" t="n">
        <v>0</v>
      </c>
      <c r="K215" s="40" t="n">
        <v>0</v>
      </c>
      <c r="L215" s="40" t="n">
        <v>0</v>
      </c>
      <c r="M215" s="40" t="n">
        <v>0</v>
      </c>
      <c r="N215" s="41" t="n">
        <v>0.08</v>
      </c>
    </row>
    <row r="216">
      <c r="A216" s="50" t="n">
        <v>211</v>
      </c>
      <c r="B216" s="51" t="inlineStr">
        <is>
          <t>Josh Kelly</t>
        </is>
      </c>
      <c r="C216" s="50" t="inlineStr">
        <is>
          <t>HOU</t>
        </is>
      </c>
      <c r="D216" s="50" t="inlineStr">
        <is>
          <t>DAL</t>
        </is>
      </c>
      <c r="E216" s="52" t="n">
        <v>4000</v>
      </c>
      <c r="F216" s="53" t="n"/>
      <c r="G216" s="53" t="n"/>
      <c r="H216" s="53" t="n"/>
      <c r="I216" s="53">
        <f>IF(OR(ISBLANK(G216), NOT(ISNUMBER(G216))), "", IF(G216 &lt; 0, -G216 / (-G216 + 100), 100 / (G216 + 100)))</f>
        <v/>
      </c>
      <c r="J216" s="40" t="n">
        <v>0</v>
      </c>
      <c r="K216" s="40" t="n">
        <v>0</v>
      </c>
      <c r="L216" s="40" t="n">
        <v>0</v>
      </c>
      <c r="M216" s="40" t="n">
        <v>0</v>
      </c>
      <c r="N216" s="41" t="n">
        <v>0.08</v>
      </c>
    </row>
    <row r="217">
      <c r="A217" s="50" t="n">
        <v>212</v>
      </c>
      <c r="B217" s="51" t="inlineStr">
        <is>
          <t>Tyren Montgomery</t>
        </is>
      </c>
      <c r="C217" s="50" t="inlineStr">
        <is>
          <t>TEN</t>
        </is>
      </c>
      <c r="D217" s="50" t="inlineStr">
        <is>
          <t>IND</t>
        </is>
      </c>
      <c r="E217" s="52" t="n">
        <v>4000</v>
      </c>
      <c r="F217" s="53" t="n"/>
      <c r="G217" s="53" t="n"/>
      <c r="H217" s="53" t="n"/>
      <c r="I217" s="53">
        <f>IF(OR(ISBLANK(G217), NOT(ISNUMBER(G217))), "", IF(G217 &lt; 0, -G217 / (-G217 + 100), 100 / (G217 + 100)))</f>
        <v/>
      </c>
      <c r="J217" s="40" t="n">
        <v>0</v>
      </c>
      <c r="K217" s="40" t="n">
        <v>0</v>
      </c>
      <c r="L217" s="40" t="n">
        <v>0</v>
      </c>
      <c r="M217" s="40" t="n">
        <v>0</v>
      </c>
      <c r="N217" s="41" t="n">
        <v>0.08</v>
      </c>
    </row>
    <row r="218">
      <c r="A218" s="50" t="n">
        <v>213</v>
      </c>
      <c r="B218" s="51" t="inlineStr">
        <is>
          <t>Michael Briscoe</t>
        </is>
      </c>
      <c r="C218" s="50" t="inlineStr">
        <is>
          <t>MIN</t>
        </is>
      </c>
      <c r="D218" s="50" t="inlineStr">
        <is>
          <t>MIA</t>
        </is>
      </c>
      <c r="E218" s="52" t="n">
        <v>4000</v>
      </c>
      <c r="F218" s="53" t="n"/>
      <c r="G218" s="53" t="n"/>
      <c r="H218" s="53" t="n"/>
      <c r="I218" s="53">
        <f>IF(OR(ISBLANK(G218), NOT(ISNUMBER(G218))), "", IF(G218 &lt; 0, -G218 / (-G218 + 100), 100 / (G218 + 100)))</f>
        <v/>
      </c>
      <c r="J218" s="40" t="n">
        <v>0</v>
      </c>
      <c r="K218" s="40" t="n">
        <v>0</v>
      </c>
      <c r="L218" s="40" t="n">
        <v>0</v>
      </c>
      <c r="M218" s="40" t="n">
        <v>0</v>
      </c>
      <c r="N218" s="41" t="n">
        <v>0.08</v>
      </c>
    </row>
    <row r="219">
      <c r="A219" s="50" t="n">
        <v>214</v>
      </c>
      <c r="B219" s="51" t="inlineStr">
        <is>
          <t>Lucky Jackson</t>
        </is>
      </c>
      <c r="C219" s="50" t="inlineStr">
        <is>
          <t>DET</t>
        </is>
      </c>
      <c r="D219" s="50" t="inlineStr">
        <is>
          <t>NYJ</t>
        </is>
      </c>
      <c r="E219" s="52" t="n">
        <v>4000</v>
      </c>
      <c r="F219" s="53" t="n"/>
      <c r="G219" s="53" t="n"/>
      <c r="H219" s="53" t="n"/>
      <c r="I219" s="53">
        <f>IF(OR(ISBLANK(G219), NOT(ISNUMBER(G219))), "", IF(G219 &lt; 0, -G219 / (-G219 + 100), 100 / (G219 + 100)))</f>
        <v/>
      </c>
      <c r="J219" s="40" t="n">
        <v>0</v>
      </c>
      <c r="K219" s="40" t="n">
        <v>0</v>
      </c>
      <c r="L219" s="40" t="n">
        <v>0</v>
      </c>
      <c r="M219" s="40" t="n">
        <v>0</v>
      </c>
      <c r="N219" s="41" t="n">
        <v>0.08</v>
      </c>
    </row>
    <row r="220">
      <c r="A220" s="50" t="n">
        <v>215</v>
      </c>
      <c r="B220" s="51" t="inlineStr">
        <is>
          <t>Jaden Bradley</t>
        </is>
      </c>
      <c r="C220" s="50" t="inlineStr">
        <is>
          <t>WAS</t>
        </is>
      </c>
      <c r="D220" s="50" t="inlineStr">
        <is>
          <t>SEA</t>
        </is>
      </c>
      <c r="E220" s="52" t="n">
        <v>4000</v>
      </c>
      <c r="F220" s="53" t="n"/>
      <c r="G220" s="53" t="n"/>
      <c r="H220" s="53" t="n"/>
      <c r="I220" s="53">
        <f>IF(OR(ISBLANK(G220), NOT(ISNUMBER(G220))), "", IF(G220 &lt; 0, -G220 / (-G220 + 100), 100 / (G220 + 100)))</f>
        <v/>
      </c>
      <c r="J220" s="40" t="n">
        <v>0</v>
      </c>
      <c r="K220" s="40" t="n">
        <v>0</v>
      </c>
      <c r="L220" s="40" t="n">
        <v>0</v>
      </c>
      <c r="M220" s="40" t="n">
        <v>0</v>
      </c>
      <c r="N220" s="41" t="n">
        <v>0.08</v>
      </c>
    </row>
    <row r="221">
      <c r="A221" s="50" t="n">
        <v>216</v>
      </c>
      <c r="B221" s="51" t="inlineStr">
        <is>
          <t>Michael Wortham</t>
        </is>
      </c>
      <c r="C221" s="50" t="inlineStr">
        <is>
          <t>JAC</t>
        </is>
      </c>
      <c r="D221" s="50" t="inlineStr">
        <is>
          <t>CIN</t>
        </is>
      </c>
      <c r="E221" s="52" t="n">
        <v>4000</v>
      </c>
      <c r="F221" s="53" t="n"/>
      <c r="G221" s="53" t="n"/>
      <c r="H221" s="53" t="n"/>
      <c r="I221" s="53">
        <f>IF(OR(ISBLANK(G221), NOT(ISNUMBER(G221))), "", IF(G221 &lt; 0, -G221 / (-G221 + 100), 100 / (G221 + 100)))</f>
        <v/>
      </c>
      <c r="J221" s="40" t="n">
        <v>0</v>
      </c>
      <c r="K221" s="40" t="n">
        <v>0</v>
      </c>
      <c r="L221" s="40" t="n">
        <v>0</v>
      </c>
      <c r="M221" s="40" t="n">
        <v>0</v>
      </c>
      <c r="N221" s="41" t="n">
        <v>0.08</v>
      </c>
    </row>
    <row r="222">
      <c r="A222" s="50" t="n">
        <v>217</v>
      </c>
      <c r="B222" s="51" t="inlineStr">
        <is>
          <t>Trey Palmer</t>
        </is>
      </c>
      <c r="C222" s="50" t="inlineStr">
        <is>
          <t>NO</t>
        </is>
      </c>
      <c r="D222" s="50" t="inlineStr">
        <is>
          <t>NYG</t>
        </is>
      </c>
      <c r="E222" s="52" t="n">
        <v>4000</v>
      </c>
      <c r="F222" s="53" t="n"/>
      <c r="G222" s="53" t="n"/>
      <c r="H222" s="53" t="n"/>
      <c r="I222" s="53">
        <f>IF(OR(ISBLANK(G222), NOT(ISNUMBER(G222))), "", IF(G222 &lt; 0, -G222 / (-G222 + 100), 100 / (G222 + 100)))</f>
        <v/>
      </c>
      <c r="J222" s="40" t="n">
        <v>0</v>
      </c>
      <c r="K222" s="40" t="n">
        <v>0</v>
      </c>
      <c r="L222" s="40" t="n">
        <v>0</v>
      </c>
      <c r="M222" s="40" t="n">
        <v>0</v>
      </c>
      <c r="N222" s="41" t="n">
        <v>0.08</v>
      </c>
    </row>
    <row r="223">
      <c r="A223" s="50" t="n">
        <v>218</v>
      </c>
      <c r="B223" s="51" t="inlineStr">
        <is>
          <t>Dillon Bell</t>
        </is>
      </c>
      <c r="C223" s="50" t="inlineStr">
        <is>
          <t>MIN</t>
        </is>
      </c>
      <c r="D223" s="50" t="inlineStr">
        <is>
          <t>MIA</t>
        </is>
      </c>
      <c r="E223" s="52" t="n">
        <v>4000</v>
      </c>
      <c r="F223" s="53" t="n"/>
      <c r="G223" s="53" t="n"/>
      <c r="H223" s="53" t="n"/>
      <c r="I223" s="53">
        <f>IF(OR(ISBLANK(G223), NOT(ISNUMBER(G223))), "", IF(G223 &lt; 0, -G223 / (-G223 + 100), 100 / (G223 + 100)))</f>
        <v/>
      </c>
      <c r="J223" s="40" t="n">
        <v>0</v>
      </c>
      <c r="K223" s="40" t="n">
        <v>0</v>
      </c>
      <c r="L223" s="40" t="n">
        <v>0</v>
      </c>
      <c r="M223" s="40" t="n">
        <v>0</v>
      </c>
      <c r="N223" s="41" t="n">
        <v>0.08</v>
      </c>
    </row>
    <row r="224">
      <c r="A224" s="50" t="n">
        <v>219</v>
      </c>
      <c r="B224" s="51" t="inlineStr">
        <is>
          <t>Kyrese Rowan</t>
        </is>
      </c>
      <c r="C224" s="50" t="inlineStr">
        <is>
          <t>NO</t>
        </is>
      </c>
      <c r="D224" s="50" t="inlineStr">
        <is>
          <t>NYG</t>
        </is>
      </c>
      <c r="E224" s="52" t="n">
        <v>4000</v>
      </c>
      <c r="F224" s="53" t="n"/>
      <c r="G224" s="53" t="n"/>
      <c r="H224" s="53" t="n"/>
      <c r="I224" s="53">
        <f>IF(OR(ISBLANK(G224), NOT(ISNUMBER(G224))), "", IF(G224 &lt; 0, -G224 / (-G224 + 100), 100 / (G224 + 100)))</f>
        <v/>
      </c>
      <c r="J224" s="40" t="n">
        <v>0</v>
      </c>
      <c r="K224" s="40" t="n">
        <v>0</v>
      </c>
      <c r="L224" s="40" t="n">
        <v>0</v>
      </c>
      <c r="M224" s="40" t="n">
        <v>0</v>
      </c>
      <c r="N224" s="41" t="n">
        <v>0.08</v>
      </c>
    </row>
    <row r="225">
      <c r="A225" s="50" t="n">
        <v>220</v>
      </c>
      <c r="B225" s="51" t="inlineStr">
        <is>
          <t>Ja'seem Reed</t>
        </is>
      </c>
      <c r="C225" s="50" t="inlineStr">
        <is>
          <t>CAR</t>
        </is>
      </c>
      <c r="D225" s="50" t="inlineStr">
        <is>
          <t>PHI</t>
        </is>
      </c>
      <c r="E225" s="52" t="n">
        <v>4000</v>
      </c>
      <c r="F225" s="53" t="n"/>
      <c r="G225" s="53" t="n"/>
      <c r="H225" s="53" t="n"/>
      <c r="I225" s="53">
        <f>IF(OR(ISBLANK(G225), NOT(ISNUMBER(G225))), "", IF(G225 &lt; 0, -G225 / (-G225 + 100), 100 / (G225 + 100)))</f>
        <v/>
      </c>
      <c r="J225" s="40" t="n">
        <v>0</v>
      </c>
      <c r="K225" s="40" t="n">
        <v>0</v>
      </c>
      <c r="L225" s="40" t="n">
        <v>0</v>
      </c>
      <c r="M225" s="40" t="n">
        <v>0</v>
      </c>
      <c r="N225" s="41" t="n">
        <v>0.08</v>
      </c>
    </row>
    <row r="226">
      <c r="A226" s="50" t="n">
        <v>221</v>
      </c>
      <c r="B226" s="51" t="inlineStr">
        <is>
          <t>Brandon Johnson</t>
        </is>
      </c>
      <c r="C226" s="50" t="inlineStr">
        <is>
          <t>PIT</t>
        </is>
      </c>
      <c r="D226" s="50" t="inlineStr">
        <is>
          <t>TB</t>
        </is>
      </c>
      <c r="E226" s="52" t="n">
        <v>4000</v>
      </c>
      <c r="F226" s="53" t="n"/>
      <c r="G226" s="53" t="n"/>
      <c r="H226" s="53" t="n"/>
      <c r="I226" s="53">
        <f>IF(OR(ISBLANK(G226), NOT(ISNUMBER(G226))), "", IF(G226 &lt; 0, -G226 / (-G226 + 100), 100 / (G226 + 100)))</f>
        <v/>
      </c>
      <c r="J226" s="40" t="n">
        <v>0</v>
      </c>
      <c r="K226" s="40" t="n">
        <v>0</v>
      </c>
      <c r="L226" s="40" t="n">
        <v>0</v>
      </c>
      <c r="M226" s="40" t="n">
        <v>0</v>
      </c>
      <c r="N226" s="41" t="n">
        <v>0.08</v>
      </c>
    </row>
    <row r="227">
      <c r="A227" s="50" t="n">
        <v>222</v>
      </c>
      <c r="B227" s="51" t="inlineStr">
        <is>
          <t>Gary Jennings</t>
        </is>
      </c>
      <c r="C227" s="50" t="inlineStr">
        <is>
          <t>LAC</t>
        </is>
      </c>
      <c r="D227" s="50" t="inlineStr">
        <is>
          <t>KC</t>
        </is>
      </c>
      <c r="E227" s="52" t="n">
        <v>4000</v>
      </c>
      <c r="F227" s="53" t="n"/>
      <c r="G227" s="53" t="n"/>
      <c r="H227" s="53" t="n"/>
      <c r="I227" s="53">
        <f>IF(OR(ISBLANK(G227), NOT(ISNUMBER(G227))), "", IF(G227 &lt; 0, -G227 / (-G227 + 100), 100 / (G227 + 100)))</f>
        <v/>
      </c>
      <c r="J227" s="40" t="n">
        <v>0</v>
      </c>
      <c r="K227" s="40" t="n">
        <v>0</v>
      </c>
      <c r="L227" s="40" t="n">
        <v>0</v>
      </c>
      <c r="M227" s="40" t="n">
        <v>0</v>
      </c>
      <c r="N227" s="41" t="n">
        <v>0.08</v>
      </c>
    </row>
    <row r="228">
      <c r="A228" s="50" t="n">
        <v>223</v>
      </c>
      <c r="B228" s="51" t="inlineStr">
        <is>
          <t>Cameron Dorner</t>
        </is>
      </c>
      <c r="C228" s="50" t="inlineStr">
        <is>
          <t>NE</t>
        </is>
      </c>
      <c r="D228" s="50" t="inlineStr">
        <is>
          <t>NYJ</t>
        </is>
      </c>
      <c r="E228" s="52" t="n">
        <v>4000</v>
      </c>
      <c r="F228" s="53" t="n"/>
      <c r="G228" s="53" t="n"/>
      <c r="H228" s="53" t="n"/>
      <c r="I228" s="53">
        <f>IF(OR(ISBLANK(G228), NOT(ISNUMBER(G228))), "", IF(G228 &lt; 0, -G228 / (-G228 + 100), 100 / (G228 + 100)))</f>
        <v/>
      </c>
      <c r="J228" s="40" t="n">
        <v>0</v>
      </c>
      <c r="K228" s="40" t="n">
        <v>0</v>
      </c>
      <c r="L228" s="40" t="n">
        <v>0</v>
      </c>
      <c r="M228" s="40" t="n">
        <v>0</v>
      </c>
      <c r="N228" s="41" t="n">
        <v>0.08</v>
      </c>
    </row>
    <row r="229">
      <c r="A229" s="50" t="n">
        <v>224</v>
      </c>
      <c r="B229" s="51" t="inlineStr">
        <is>
          <t>Will Sheppard</t>
        </is>
      </c>
      <c r="C229" s="50" t="inlineStr">
        <is>
          <t>MIA</t>
        </is>
      </c>
      <c r="D229" s="50" t="inlineStr">
        <is>
          <t>MIN</t>
        </is>
      </c>
      <c r="E229" s="52" t="n">
        <v>4000</v>
      </c>
      <c r="F229" s="53" t="n"/>
      <c r="G229" s="53" t="n"/>
      <c r="H229" s="53" t="n"/>
      <c r="I229" s="53">
        <f>IF(OR(ISBLANK(G229), NOT(ISNUMBER(G229))), "", IF(G229 &lt; 0, -G229 / (-G229 + 100), 100 / (G229 + 100)))</f>
        <v/>
      </c>
      <c r="J229" s="40" t="n">
        <v>0</v>
      </c>
      <c r="K229" s="40" t="n">
        <v>0</v>
      </c>
      <c r="L229" s="40" t="n">
        <v>0</v>
      </c>
      <c r="M229" s="40" t="n">
        <v>0</v>
      </c>
      <c r="N229" s="41" t="n">
        <v>0.08</v>
      </c>
    </row>
    <row r="230">
      <c r="A230" s="50" t="n">
        <v>225</v>
      </c>
      <c r="B230" s="51" t="inlineStr">
        <is>
          <t>Jordyn Tyson</t>
        </is>
      </c>
      <c r="C230" s="50" t="inlineStr">
        <is>
          <t>NO</t>
        </is>
      </c>
      <c r="D230" s="50" t="inlineStr">
        <is>
          <t>NYG</t>
        </is>
      </c>
      <c r="E230" s="52" t="n">
        <v>4800</v>
      </c>
      <c r="F230" s="53" t="n"/>
      <c r="G230" s="53" t="n"/>
      <c r="H230" s="53" t="n"/>
      <c r="I230" s="53">
        <f>IF(OR(ISBLANK(G230), NOT(ISNUMBER(G230))), "", IF(G230 &lt; 0, -G230 / (-G230 + 100), 100 / (G230 + 100)))</f>
        <v/>
      </c>
      <c r="J230" s="40" t="n">
        <v>0</v>
      </c>
      <c r="K230" s="40" t="n">
        <v>0</v>
      </c>
      <c r="L230" s="40" t="n">
        <v>0</v>
      </c>
      <c r="M230" s="40" t="n">
        <v>0</v>
      </c>
      <c r="N230" s="41" t="n">
        <v>0.08</v>
      </c>
    </row>
    <row r="231">
      <c r="A231" s="50" t="n">
        <v>226</v>
      </c>
      <c r="B231" s="51" t="inlineStr">
        <is>
          <t>Lewis Bond</t>
        </is>
      </c>
      <c r="C231" s="50" t="inlineStr">
        <is>
          <t>HOU</t>
        </is>
      </c>
      <c r="D231" s="50" t="inlineStr">
        <is>
          <t>DAL</t>
        </is>
      </c>
      <c r="E231" s="52" t="n">
        <v>4200</v>
      </c>
      <c r="F231" s="53" t="n"/>
      <c r="G231" s="53" t="n"/>
      <c r="H231" s="53" t="n"/>
      <c r="I231" s="53">
        <f>IF(OR(ISBLANK(G231), NOT(ISNUMBER(G231))), "", IF(G231 &lt; 0, -G231 / (-G231 + 100), 100 / (G231 + 100)))</f>
        <v/>
      </c>
      <c r="J231" s="40" t="n">
        <v>0</v>
      </c>
      <c r="K231" s="40" t="n">
        <v>0</v>
      </c>
      <c r="L231" s="40" t="n">
        <v>0</v>
      </c>
      <c r="M231" s="40" t="n">
        <v>0</v>
      </c>
      <c r="N231" s="41" t="n">
        <v>0.08</v>
      </c>
    </row>
    <row r="232">
      <c r="A232" s="50" t="n">
        <v>227</v>
      </c>
      <c r="B232" s="51" t="inlineStr">
        <is>
          <t>Jordan Moore</t>
        </is>
      </c>
      <c r="C232" s="50" t="inlineStr">
        <is>
          <t>CIN</t>
        </is>
      </c>
      <c r="D232" s="50" t="inlineStr">
        <is>
          <t>JAC</t>
        </is>
      </c>
      <c r="E232" s="52" t="n">
        <v>4000</v>
      </c>
      <c r="F232" s="53" t="n"/>
      <c r="G232" s="53" t="n"/>
      <c r="H232" s="53" t="n"/>
      <c r="I232" s="53">
        <f>IF(OR(ISBLANK(G232), NOT(ISNUMBER(G232))), "", IF(G232 &lt; 0, -G232 / (-G232 + 100), 100 / (G232 + 100)))</f>
        <v/>
      </c>
      <c r="J232" s="40" t="n">
        <v>0</v>
      </c>
      <c r="K232" s="40" t="n">
        <v>0</v>
      </c>
      <c r="L232" s="40" t="n">
        <v>0</v>
      </c>
      <c r="M232" s="40" t="n">
        <v>0</v>
      </c>
      <c r="N232" s="41" t="n">
        <v>0.08</v>
      </c>
    </row>
    <row r="233">
      <c r="A233" s="50" t="n">
        <v>228</v>
      </c>
      <c r="B233" s="51" t="inlineStr">
        <is>
          <t>Bub Means</t>
        </is>
      </c>
      <c r="C233" s="50" t="inlineStr">
        <is>
          <t>CLE</t>
        </is>
      </c>
      <c r="D233" s="50" t="inlineStr">
        <is>
          <t>BAL</t>
        </is>
      </c>
      <c r="E233" s="52" t="n">
        <v>4000</v>
      </c>
      <c r="F233" s="53" t="n"/>
      <c r="G233" s="53" t="n"/>
      <c r="H233" s="53" t="n"/>
      <c r="I233" s="53">
        <f>IF(OR(ISBLANK(G233), NOT(ISNUMBER(G233))), "", IF(G233 &lt; 0, -G233 / (-G233 + 100), 100 / (G233 + 100)))</f>
        <v/>
      </c>
      <c r="J233" s="40" t="n">
        <v>0</v>
      </c>
      <c r="K233" s="40" t="n">
        <v>0</v>
      </c>
      <c r="L233" s="40" t="n">
        <v>0</v>
      </c>
      <c r="M233" s="40" t="n">
        <v>0</v>
      </c>
      <c r="N233" s="41" t="n">
        <v>0.08</v>
      </c>
    </row>
    <row r="234">
      <c r="A234" s="50" t="n">
        <v>229</v>
      </c>
      <c r="B234" s="51" t="inlineStr">
        <is>
          <t>Corey Rucker</t>
        </is>
      </c>
      <c r="C234" s="50" t="inlineStr">
        <is>
          <t>LV</t>
        </is>
      </c>
      <c r="D234" s="50" t="inlineStr">
        <is>
          <t>BUF</t>
        </is>
      </c>
      <c r="E234" s="52" t="n">
        <v>4000</v>
      </c>
      <c r="F234" s="53" t="n"/>
      <c r="G234" s="53" t="n"/>
      <c r="H234" s="53" t="n"/>
      <c r="I234" s="53">
        <f>IF(OR(ISBLANK(G234), NOT(ISNUMBER(G234))), "", IF(G234 &lt; 0, -G234 / (-G234 + 100), 100 / (G234 + 100)))</f>
        <v/>
      </c>
      <c r="J234" s="40" t="n">
        <v>0</v>
      </c>
      <c r="K234" s="40" t="n">
        <v>0</v>
      </c>
      <c r="L234" s="40" t="n">
        <v>0</v>
      </c>
      <c r="M234" s="40" t="n">
        <v>0</v>
      </c>
      <c r="N234" s="41" t="n">
        <v>0.08</v>
      </c>
    </row>
    <row r="235">
      <c r="A235" s="50" t="n">
        <v>230</v>
      </c>
      <c r="B235" s="51" t="inlineStr">
        <is>
          <t>De'Zhaun Stribling</t>
        </is>
      </c>
      <c r="C235" s="50" t="inlineStr">
        <is>
          <t>SF</t>
        </is>
      </c>
      <c r="D235" s="50" t="inlineStr">
        <is>
          <t>DEN</t>
        </is>
      </c>
      <c r="E235" s="52" t="n">
        <v>4000</v>
      </c>
      <c r="F235" s="53" t="n"/>
      <c r="G235" s="53" t="n"/>
      <c r="H235" s="53" t="n"/>
      <c r="I235" s="53">
        <f>IF(OR(ISBLANK(G235), NOT(ISNUMBER(G235))), "", IF(G235 &lt; 0, -G235 / (-G235 + 100), 100 / (G235 + 100)))</f>
        <v/>
      </c>
      <c r="J235" s="40" t="n">
        <v>0</v>
      </c>
      <c r="K235" s="40" t="n">
        <v>0</v>
      </c>
      <c r="L235" s="40" t="n">
        <v>0</v>
      </c>
      <c r="M235" s="40" t="n">
        <v>0</v>
      </c>
      <c r="N235" s="41" t="n">
        <v>0.08</v>
      </c>
    </row>
    <row r="236">
      <c r="A236" s="50" t="n">
        <v>231</v>
      </c>
      <c r="B236" s="51" t="inlineStr">
        <is>
          <t>Anthony Smith</t>
        </is>
      </c>
      <c r="C236" s="50" t="inlineStr">
        <is>
          <t>DAL</t>
        </is>
      </c>
      <c r="D236" s="50" t="inlineStr">
        <is>
          <t>HOU</t>
        </is>
      </c>
      <c r="E236" s="52" t="n">
        <v>4000</v>
      </c>
      <c r="F236" s="53" t="n"/>
      <c r="G236" s="53" t="n"/>
      <c r="H236" s="53" t="n"/>
      <c r="I236" s="53">
        <f>IF(OR(ISBLANK(G236), NOT(ISNUMBER(G236))), "", IF(G236 &lt; 0, -G236 / (-G236 + 100), 100 / (G236 + 100)))</f>
        <v/>
      </c>
      <c r="J236" s="40" t="n">
        <v>0</v>
      </c>
      <c r="K236" s="40" t="n">
        <v>0</v>
      </c>
      <c r="L236" s="40" t="n">
        <v>0</v>
      </c>
      <c r="M236" s="40" t="n">
        <v>0</v>
      </c>
      <c r="N236" s="41" t="n">
        <v>0.08</v>
      </c>
    </row>
    <row r="237">
      <c r="A237" s="50" t="n">
        <v>232</v>
      </c>
      <c r="B237" s="51" t="inlineStr">
        <is>
          <t>Malik McClain</t>
        </is>
      </c>
      <c r="C237" s="50" t="inlineStr">
        <is>
          <t>NYJ</t>
        </is>
      </c>
      <c r="D237" s="50" t="inlineStr">
        <is>
          <t>NE</t>
        </is>
      </c>
      <c r="E237" s="52" t="n">
        <v>4000</v>
      </c>
      <c r="F237" s="53" t="n"/>
      <c r="G237" s="55" t="n">
        <v>1700</v>
      </c>
      <c r="H237" s="53" t="n"/>
      <c r="I237" s="40" t="n">
        <v>0.0556</v>
      </c>
      <c r="J237" s="40" t="n">
        <v>0.33</v>
      </c>
      <c r="K237" s="40" t="n">
        <v>0</v>
      </c>
      <c r="L237" s="40" t="n">
        <v>0.33</v>
      </c>
      <c r="M237" s="40" t="n">
        <v>0.08</v>
      </c>
      <c r="N237" s="41" t="n">
        <v>0</v>
      </c>
    </row>
    <row r="238">
      <c r="A238" s="50" t="n">
        <v>233</v>
      </c>
      <c r="B238" s="51" t="inlineStr">
        <is>
          <t>Camden Brown</t>
        </is>
      </c>
      <c r="C238" s="50" t="inlineStr">
        <is>
          <t>DAL</t>
        </is>
      </c>
      <c r="D238" s="50" t="inlineStr">
        <is>
          <t>HOU</t>
        </is>
      </c>
      <c r="E238" s="52" t="n">
        <v>4000</v>
      </c>
      <c r="F238" s="53" t="n"/>
      <c r="G238" s="55" t="n">
        <v>800</v>
      </c>
      <c r="H238" s="53" t="n"/>
      <c r="I238" s="40" t="n">
        <v>0.1111</v>
      </c>
      <c r="J238" s="40" t="n">
        <v>0.67</v>
      </c>
      <c r="K238" s="40" t="n">
        <v>0</v>
      </c>
      <c r="L238" s="40" t="n">
        <v>0.67</v>
      </c>
      <c r="M238" s="40" t="n">
        <v>0.17</v>
      </c>
      <c r="N238" s="41" t="n">
        <v>0</v>
      </c>
    </row>
    <row r="239">
      <c r="A239" s="50" t="n">
        <v>234</v>
      </c>
      <c r="B239" s="51" t="inlineStr">
        <is>
          <t>Xavier Guillory</t>
        </is>
      </c>
      <c r="C239" s="50" t="inlineStr">
        <is>
          <t>BAL</t>
        </is>
      </c>
      <c r="D239" s="50" t="inlineStr">
        <is>
          <t>CLE</t>
        </is>
      </c>
      <c r="E239" s="52" t="n">
        <v>4000</v>
      </c>
      <c r="F239" s="53" t="n"/>
      <c r="G239" s="53" t="n"/>
      <c r="H239" s="53" t="n"/>
      <c r="I239" s="53">
        <f>IF(OR(ISBLANK(G239), NOT(ISNUMBER(G239))), "", IF(G239 &lt; 0, -G239 / (-G239 + 100), 100 / (G239 + 100)))</f>
        <v/>
      </c>
      <c r="J239" s="40" t="n">
        <v>0</v>
      </c>
      <c r="K239" s="40" t="n">
        <v>0</v>
      </c>
      <c r="L239" s="40" t="n">
        <v>0</v>
      </c>
      <c r="M239" s="40" t="n">
        <v>0</v>
      </c>
      <c r="N239" s="41" t="n">
        <v>0.08</v>
      </c>
    </row>
    <row r="240">
      <c r="A240" s="50" t="n">
        <v>235</v>
      </c>
      <c r="B240" s="51" t="inlineStr">
        <is>
          <t>Cole Burgess</t>
        </is>
      </c>
      <c r="C240" s="50" t="inlineStr">
        <is>
          <t>PIT</t>
        </is>
      </c>
      <c r="D240" s="50" t="inlineStr">
        <is>
          <t>TB</t>
        </is>
      </c>
      <c r="E240" s="52" t="n">
        <v>4000</v>
      </c>
      <c r="F240" s="53" t="n"/>
      <c r="G240" s="53" t="n"/>
      <c r="H240" s="53" t="n"/>
      <c r="I240" s="53">
        <f>IF(OR(ISBLANK(G240), NOT(ISNUMBER(G240))), "", IF(G240 &lt; 0, -G240 / (-G240 + 100), 100 / (G240 + 100)))</f>
        <v/>
      </c>
      <c r="J240" s="40" t="n">
        <v>0</v>
      </c>
      <c r="K240" s="40" t="n">
        <v>0</v>
      </c>
      <c r="L240" s="40" t="n">
        <v>0</v>
      </c>
      <c r="M240" s="40" t="n">
        <v>0</v>
      </c>
      <c r="N240" s="41" t="n">
        <v>0.08</v>
      </c>
    </row>
    <row r="241">
      <c r="A241" s="50" t="n">
        <v>236</v>
      </c>
      <c r="B241" s="51" t="inlineStr">
        <is>
          <t>Ja'Mori Maclin</t>
        </is>
      </c>
      <c r="C241" s="50" t="inlineStr">
        <is>
          <t>BUF</t>
        </is>
      </c>
      <c r="D241" s="50" t="inlineStr">
        <is>
          <t>LV</t>
        </is>
      </c>
      <c r="E241" s="52" t="n">
        <v>4000</v>
      </c>
      <c r="F241" s="53" t="n"/>
      <c r="G241" s="53" t="n"/>
      <c r="H241" s="53" t="n"/>
      <c r="I241" s="53">
        <f>IF(OR(ISBLANK(G241), NOT(ISNUMBER(G241))), "", IF(G241 &lt; 0, -G241 / (-G241 + 100), 100 / (G241 + 100)))</f>
        <v/>
      </c>
      <c r="J241" s="40" t="n">
        <v>0</v>
      </c>
      <c r="K241" s="40" t="n">
        <v>0</v>
      </c>
      <c r="L241" s="40" t="n">
        <v>0</v>
      </c>
      <c r="M241" s="40" t="n">
        <v>0</v>
      </c>
      <c r="N241" s="41" t="n">
        <v>0.08</v>
      </c>
    </row>
    <row r="242">
      <c r="A242" s="50" t="n">
        <v>237</v>
      </c>
      <c r="B242" s="51" t="inlineStr">
        <is>
          <t>Trebor Pena</t>
        </is>
      </c>
      <c r="C242" s="50" t="inlineStr">
        <is>
          <t>JAC</t>
        </is>
      </c>
      <c r="D242" s="50" t="inlineStr">
        <is>
          <t>CIN</t>
        </is>
      </c>
      <c r="E242" s="52" t="n">
        <v>4000</v>
      </c>
      <c r="F242" s="53" t="n"/>
      <c r="G242" s="53" t="n"/>
      <c r="H242" s="53" t="n"/>
      <c r="I242" s="53">
        <f>IF(OR(ISBLANK(G242), NOT(ISNUMBER(G242))), "", IF(G242 &lt; 0, -G242 / (-G242 + 100), 100 / (G242 + 100)))</f>
        <v/>
      </c>
      <c r="J242" s="40" t="n">
        <v>0</v>
      </c>
      <c r="K242" s="40" t="n">
        <v>0</v>
      </c>
      <c r="L242" s="40" t="n">
        <v>0</v>
      </c>
      <c r="M242" s="40" t="n">
        <v>0</v>
      </c>
      <c r="N242" s="41" t="n">
        <v>0.08</v>
      </c>
    </row>
    <row r="243">
      <c r="A243" s="50" t="n">
        <v>238</v>
      </c>
      <c r="B243" s="51" t="inlineStr">
        <is>
          <t>Garrett Greene</t>
        </is>
      </c>
      <c r="C243" s="50" t="inlineStr">
        <is>
          <t>TB</t>
        </is>
      </c>
      <c r="D243" s="50" t="inlineStr">
        <is>
          <t>PIT</t>
        </is>
      </c>
      <c r="E243" s="52" t="n">
        <v>4000</v>
      </c>
      <c r="F243" s="53" t="n"/>
      <c r="G243" s="53" t="n"/>
      <c r="H243" s="53" t="n"/>
      <c r="I243" s="53">
        <f>IF(OR(ISBLANK(G243), NOT(ISNUMBER(G243))), "", IF(G243 &lt; 0, -G243 / (-G243 + 100), 100 / (G243 + 100)))</f>
        <v/>
      </c>
      <c r="J243" s="40" t="n">
        <v>0</v>
      </c>
      <c r="K243" s="40" t="n">
        <v>0</v>
      </c>
      <c r="L243" s="40" t="n">
        <v>0</v>
      </c>
      <c r="M243" s="40" t="n">
        <v>0</v>
      </c>
      <c r="N243" s="41" t="n">
        <v>0.08</v>
      </c>
    </row>
    <row r="244">
      <c r="A244" s="50" t="n">
        <v>239</v>
      </c>
      <c r="B244" s="51" t="inlineStr">
        <is>
          <t>Kendrick Law</t>
        </is>
      </c>
      <c r="C244" s="50" t="inlineStr">
        <is>
          <t>DET</t>
        </is>
      </c>
      <c r="D244" s="50" t="inlineStr">
        <is>
          <t>NYJ</t>
        </is>
      </c>
      <c r="E244" s="52" t="n">
        <v>4000</v>
      </c>
      <c r="F244" s="53" t="n"/>
      <c r="G244" s="53" t="n"/>
      <c r="H244" s="53" t="n"/>
      <c r="I244" s="53">
        <f>IF(OR(ISBLANK(G244), NOT(ISNUMBER(G244))), "", IF(G244 &lt; 0, -G244 / (-G244 + 100), 100 / (G244 + 100)))</f>
        <v/>
      </c>
      <c r="J244" s="40" t="n">
        <v>0</v>
      </c>
      <c r="K244" s="40" t="n">
        <v>0</v>
      </c>
      <c r="L244" s="40" t="n">
        <v>0</v>
      </c>
      <c r="M244" s="40" t="n">
        <v>0</v>
      </c>
      <c r="N244" s="41" t="n">
        <v>0.08</v>
      </c>
    </row>
    <row r="245">
      <c r="A245" s="50" t="n">
        <v>240</v>
      </c>
      <c r="B245" s="51" t="inlineStr">
        <is>
          <t>Irvin Charles</t>
        </is>
      </c>
      <c r="C245" s="50" t="inlineStr">
        <is>
          <t>SEA</t>
        </is>
      </c>
      <c r="D245" s="50" t="inlineStr">
        <is>
          <t>LAC</t>
        </is>
      </c>
      <c r="E245" s="52" t="n">
        <v>4000</v>
      </c>
      <c r="F245" s="53" t="n"/>
      <c r="G245" s="53" t="n"/>
      <c r="H245" s="53" t="n"/>
      <c r="I245" s="53" t="n"/>
      <c r="J245" s="40" t="n">
        <v>0</v>
      </c>
      <c r="K245" s="40" t="n">
        <v>0</v>
      </c>
      <c r="L245" s="40" t="n">
        <v>0</v>
      </c>
      <c r="M245" s="40" t="n">
        <v>0</v>
      </c>
      <c r="N245" s="41" t="n">
        <v>0.08</v>
      </c>
    </row>
    <row r="246">
      <c r="A246" s="50" t="n">
        <v>241</v>
      </c>
      <c r="B246" s="51" t="inlineStr">
        <is>
          <t>Noah Thomas</t>
        </is>
      </c>
      <c r="C246" s="50" t="inlineStr">
        <is>
          <t>CIN</t>
        </is>
      </c>
      <c r="D246" s="50" t="inlineStr">
        <is>
          <t>JAC</t>
        </is>
      </c>
      <c r="E246" s="52" t="n">
        <v>4000</v>
      </c>
      <c r="F246" s="53" t="n"/>
      <c r="G246" s="53" t="n"/>
      <c r="H246" s="53" t="n"/>
      <c r="I246" s="53" t="n"/>
      <c r="J246" s="40" t="n">
        <v>0</v>
      </c>
      <c r="K246" s="40" t="n">
        <v>0</v>
      </c>
      <c r="L246" s="40" t="n">
        <v>0</v>
      </c>
      <c r="M246" s="40" t="n">
        <v>0</v>
      </c>
      <c r="N246" s="41" t="n">
        <v>0.08</v>
      </c>
    </row>
    <row r="247">
      <c r="A247" s="50" t="n">
        <v>242</v>
      </c>
      <c r="B247" s="51" t="inlineStr">
        <is>
          <t>Jimmy Holiday</t>
        </is>
      </c>
      <c r="C247" s="50" t="inlineStr">
        <is>
          <t>KC</t>
        </is>
      </c>
      <c r="D247" s="50" t="inlineStr">
        <is>
          <t>LAC</t>
        </is>
      </c>
      <c r="E247" s="52" t="n">
        <v>4000</v>
      </c>
      <c r="F247" s="53" t="n"/>
      <c r="G247" s="53" t="n"/>
      <c r="H247" s="53" t="n"/>
      <c r="I247" s="53" t="n"/>
      <c r="J247" s="40" t="n">
        <v>0</v>
      </c>
      <c r="K247" s="40" t="n">
        <v>0</v>
      </c>
      <c r="L247" s="40" t="n">
        <v>0</v>
      </c>
      <c r="M247" s="40" t="n">
        <v>0</v>
      </c>
      <c r="N247" s="41" t="n">
        <v>0.08</v>
      </c>
    </row>
    <row r="248">
      <c r="A248" s="50" t="n">
        <v>243</v>
      </c>
      <c r="B248" s="51" t="inlineStr">
        <is>
          <t>Trayvon Rudolph</t>
        </is>
      </c>
      <c r="C248" s="50" t="inlineStr">
        <is>
          <t>MIN</t>
        </is>
      </c>
      <c r="D248" s="50" t="inlineStr">
        <is>
          <t>TB</t>
        </is>
      </c>
      <c r="E248" s="52" t="n">
        <v>4000</v>
      </c>
      <c r="F248" s="53" t="n"/>
      <c r="G248" s="53" t="n"/>
      <c r="H248" s="53" t="n"/>
      <c r="I248" s="53" t="n"/>
      <c r="J248" s="40" t="n">
        <v>0</v>
      </c>
      <c r="K248" s="40" t="n">
        <v>0</v>
      </c>
      <c r="L248" s="40" t="n">
        <v>0</v>
      </c>
      <c r="M248" s="40" t="n">
        <v>0</v>
      </c>
      <c r="N248" s="41" t="n">
        <v>0.08</v>
      </c>
    </row>
    <row r="249">
      <c r="A249" s="50" t="n">
        <v>244</v>
      </c>
      <c r="B249" s="51" t="inlineStr">
        <is>
          <t>E.J. Williams Jr.</t>
        </is>
      </c>
      <c r="C249" s="50" t="inlineStr">
        <is>
          <t>CAR</t>
        </is>
      </c>
      <c r="D249" s="50" t="inlineStr">
        <is>
          <t>CLE</t>
        </is>
      </c>
      <c r="E249" s="52" t="n">
        <v>4000</v>
      </c>
      <c r="F249" s="53" t="n"/>
      <c r="G249" s="40" t="n"/>
      <c r="H249" s="53" t="n"/>
      <c r="I249" s="40" t="n">
        <v>0.1538</v>
      </c>
      <c r="J249" s="40" t="n">
        <v>0</v>
      </c>
      <c r="K249" s="40" t="n">
        <v>0</v>
      </c>
      <c r="L249" s="40" t="n">
        <v>0</v>
      </c>
      <c r="M249" s="40" t="n">
        <v>0</v>
      </c>
      <c r="N249" s="41" t="n">
        <v>0.08</v>
      </c>
    </row>
    <row r="250">
      <c r="A250" s="50" t="n">
        <v>245</v>
      </c>
      <c r="B250" s="51" t="inlineStr">
        <is>
          <t>Omari Evans</t>
        </is>
      </c>
      <c r="C250" s="50" t="inlineStr">
        <is>
          <t>KC</t>
        </is>
      </c>
      <c r="D250" s="50" t="inlineStr">
        <is>
          <t>LAC</t>
        </is>
      </c>
      <c r="E250" s="52" t="n">
        <v>4000</v>
      </c>
      <c r="F250" s="53" t="n"/>
      <c r="G250" s="53" t="n"/>
      <c r="H250" s="53" t="n"/>
      <c r="I250" s="53" t="n"/>
      <c r="J250" s="40" t="n">
        <v>0</v>
      </c>
      <c r="K250" s="40" t="n">
        <v>0</v>
      </c>
      <c r="L250" s="40" t="n">
        <v>0</v>
      </c>
      <c r="M250" s="40" t="n">
        <v>0</v>
      </c>
      <c r="N250" s="41" t="n">
        <v>0.08</v>
      </c>
    </row>
    <row r="251">
      <c r="A251" s="50" t="n">
        <v>246</v>
      </c>
      <c r="B251" s="51" t="inlineStr">
        <is>
          <t>Ricky White III</t>
        </is>
      </c>
      <c r="C251" s="50" t="inlineStr">
        <is>
          <t>SEA</t>
        </is>
      </c>
      <c r="D251" s="50" t="inlineStr">
        <is>
          <t>LAC</t>
        </is>
      </c>
      <c r="E251" s="52" t="n">
        <v>4000</v>
      </c>
      <c r="F251" s="53" t="n"/>
      <c r="G251" s="53" t="n"/>
      <c r="H251" s="53" t="n"/>
      <c r="I251" s="53" t="n"/>
      <c r="J251" s="40" t="n">
        <v>0</v>
      </c>
      <c r="K251" s="40" t="n">
        <v>0</v>
      </c>
      <c r="L251" s="40" t="n">
        <v>0</v>
      </c>
      <c r="M251" s="40" t="n">
        <v>0</v>
      </c>
      <c r="N251" s="41" t="n">
        <v>0.08</v>
      </c>
    </row>
    <row r="252">
      <c r="A252" s="50" t="n">
        <v>247</v>
      </c>
      <c r="B252" s="51" t="inlineStr">
        <is>
          <t>Andrew Armstrong</t>
        </is>
      </c>
      <c r="C252" s="50" t="inlineStr">
        <is>
          <t>KC</t>
        </is>
      </c>
      <c r="D252" s="50" t="inlineStr">
        <is>
          <t>LAC</t>
        </is>
      </c>
      <c r="E252" s="52" t="n">
        <v>4000</v>
      </c>
      <c r="F252" s="53" t="n"/>
      <c r="G252" s="55" t="n">
        <v>800</v>
      </c>
      <c r="H252" s="53" t="n"/>
      <c r="I252" s="40" t="n">
        <v>0.1111</v>
      </c>
      <c r="J252" s="40" t="n">
        <v>0.67</v>
      </c>
      <c r="K252" s="40" t="n">
        <v>1.7</v>
      </c>
      <c r="L252" s="40" t="n">
        <v>1.08</v>
      </c>
      <c r="M252" s="40" t="n">
        <v>0.27</v>
      </c>
      <c r="N252" s="41" t="n">
        <v>0</v>
      </c>
    </row>
  </sheetData>
  <autoFilter ref="A4:O209">
    <sortState ref="A5:K136">
      <sortCondition descending="1" ref="J4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ySplit="4" topLeftCell="A29" activePane="bottomLeft" state="frozen"/>
      <selection pane="bottomLeft" activeCell="D5" sqref="D5:H50"/>
    </sheetView>
  </sheetViews>
  <sheetFormatPr baseColWidth="8" defaultRowHeight="14.4"/>
  <cols>
    <col width="12" customWidth="1" style="29" min="1" max="1"/>
    <col width="26" customWidth="1" style="29" min="2" max="2"/>
    <col width="12" customWidth="1" style="29" min="3" max="5"/>
    <col width="15" customWidth="1" style="29" min="6" max="6"/>
    <col width="20.109375" bestFit="1" customWidth="1" style="29" min="7" max="7"/>
    <col width="19.21875" bestFit="1" customWidth="1" style="29" min="8" max="8"/>
    <col width="16.33203125" bestFit="1" customWidth="1" style="29" min="9" max="9"/>
    <col width="13" bestFit="1" customWidth="1" style="29" min="10" max="10"/>
    <col width="13" bestFit="1" customWidth="1" style="29" min="11" max="11"/>
    <col width="16" customWidth="1" style="29" min="12" max="12"/>
    <col width="10" customWidth="1" style="29" min="13" max="13"/>
    <col width="14" customWidth="1" style="29" min="14" max="14"/>
  </cols>
  <sheetData>
    <row r="1" ht="21" customHeight="1" s="29">
      <c r="A1" s="1" t="inlineStr">
        <is>
          <t>Tight Ends (TE) - Sportsbook Props Projection Model</t>
        </is>
      </c>
    </row>
    <row r="2">
      <c r="A2" s="2" t="n"/>
    </row>
    <row r="3"/>
    <row r="4" ht="28.8" customHeight="1" s="29">
      <c r="A4" s="9" t="inlineStr">
        <is>
          <t>Rank</t>
        </is>
      </c>
      <c r="B4" s="8" t="inlineStr">
        <is>
          <t>Player Name</t>
        </is>
      </c>
      <c r="C4" s="9" t="inlineStr">
        <is>
          <t>Team</t>
        </is>
      </c>
      <c r="D4" s="9" t="inlineStr">
        <is>
          <t>Opponent</t>
        </is>
      </c>
      <c r="E4" s="9" t="inlineStr">
        <is>
          <t>Salary</t>
        </is>
      </c>
      <c r="F4" s="32" t="inlineStr">
        <is>
          <t>Rec Yds Prop</t>
        </is>
      </c>
      <c r="G4" s="32" t="inlineStr">
        <is>
          <t>Anytime TD Odds</t>
        </is>
      </c>
      <c r="H4" s="32" t="inlineStr">
        <is>
          <t>Receptions Prop</t>
        </is>
      </c>
      <c r="I4" s="32" t="inlineStr">
        <is>
          <t>Implied TD %</t>
        </is>
      </c>
      <c r="J4" s="32" t="inlineStr">
        <is>
          <t>Projected Score</t>
        </is>
      </c>
      <c r="K4" s="32" t="inlineStr">
        <is>
          <t>ESPN Projection</t>
        </is>
      </c>
      <c r="L4" s="32" t="inlineStr">
        <is>
          <t>Weighted Projection</t>
        </is>
      </c>
      <c r="M4" s="32" t="inlineStr">
        <is>
          <t>Value</t>
        </is>
      </c>
      <c r="N4" s="32" t="inlineStr">
        <is>
          <t>Projected Ownership</t>
        </is>
      </c>
    </row>
    <row r="5">
      <c r="A5" s="35" t="n">
        <v>1</v>
      </c>
      <c r="B5" s="36" t="inlineStr">
        <is>
          <t>Brock Bowers</t>
        </is>
      </c>
      <c r="C5" s="35" t="inlineStr">
        <is>
          <t>LV</t>
        </is>
      </c>
      <c r="D5" s="35" t="inlineStr">
        <is>
          <t>NYJ</t>
        </is>
      </c>
      <c r="E5" s="37" t="n">
        <v>7800</v>
      </c>
      <c r="F5" s="38" t="n"/>
      <c r="G5" s="54" t="n">
        <v>115</v>
      </c>
      <c r="H5" s="38" t="n"/>
      <c r="I5" s="39" t="n">
        <v>0.4651</v>
      </c>
      <c r="J5" s="39" t="n">
        <v>2.79</v>
      </c>
      <c r="K5" s="39" t="n">
        <v>14.8</v>
      </c>
      <c r="L5" s="40" t="n">
        <v>7.59</v>
      </c>
      <c r="M5" s="40" t="n">
        <v>0.97</v>
      </c>
      <c r="N5" s="41" t="n">
        <v>0.0414</v>
      </c>
    </row>
    <row r="6">
      <c r="A6" s="35" t="n">
        <v>2</v>
      </c>
      <c r="B6" s="36" t="inlineStr">
        <is>
          <t>Trey McBride</t>
        </is>
      </c>
      <c r="C6" s="35" t="inlineStr">
        <is>
          <t>ARI</t>
        </is>
      </c>
      <c r="D6" s="35" t="inlineStr">
        <is>
          <t>DAL</t>
        </is>
      </c>
      <c r="E6" s="37" t="n">
        <v>7300</v>
      </c>
      <c r="F6" s="38" t="n"/>
      <c r="G6" s="54" t="n">
        <v>100</v>
      </c>
      <c r="H6" s="38" t="n"/>
      <c r="I6" s="39" t="n">
        <v>0.5</v>
      </c>
      <c r="J6" s="39" t="n">
        <v>3</v>
      </c>
      <c r="K6" s="39" t="n">
        <v>15.6</v>
      </c>
      <c r="L6" s="40" t="n">
        <v>8.039999999999999</v>
      </c>
      <c r="M6" s="40" t="n">
        <v>1.1</v>
      </c>
      <c r="N6" s="41" t="n">
        <v>0.0559</v>
      </c>
    </row>
    <row r="7">
      <c r="A7" s="35" t="n">
        <v>3</v>
      </c>
      <c r="B7" s="36" t="inlineStr">
        <is>
          <t>Teagan Quitoriano</t>
        </is>
      </c>
      <c r="C7" s="35" t="inlineStr">
        <is>
          <t>ARI</t>
        </is>
      </c>
      <c r="D7" s="35" t="inlineStr">
        <is>
          <t>DAL</t>
        </is>
      </c>
      <c r="E7" s="37" t="n">
        <v>4300</v>
      </c>
      <c r="F7" s="38" t="n"/>
      <c r="G7" s="54" t="n">
        <v>1400</v>
      </c>
      <c r="H7" s="38" t="n"/>
      <c r="I7" s="39" t="n">
        <v>0.0667</v>
      </c>
      <c r="J7" s="39" t="n">
        <v>0.4</v>
      </c>
      <c r="K7" s="39" t="n">
        <v>0</v>
      </c>
      <c r="L7" s="40" t="n">
        <v>0.4</v>
      </c>
      <c r="M7" s="40" t="n">
        <v>0.09</v>
      </c>
      <c r="N7" s="41" t="n">
        <v>0</v>
      </c>
    </row>
    <row r="8">
      <c r="A8" s="35" t="n">
        <v>4</v>
      </c>
      <c r="B8" s="36" t="inlineStr">
        <is>
          <t>Tyler Warren</t>
        </is>
      </c>
      <c r="C8" s="35" t="inlineStr">
        <is>
          <t>IND</t>
        </is>
      </c>
      <c r="D8" s="35" t="inlineStr">
        <is>
          <t>JAC</t>
        </is>
      </c>
      <c r="E8" s="37" t="n">
        <v>5500</v>
      </c>
      <c r="F8" s="38" t="n"/>
      <c r="G8" s="54" t="n">
        <v>200</v>
      </c>
      <c r="H8" s="38" t="n"/>
      <c r="I8" s="39" t="n">
        <v>0.3333</v>
      </c>
      <c r="J8" s="39" t="n">
        <v>2</v>
      </c>
      <c r="K8" s="39" t="n">
        <v>10.2</v>
      </c>
      <c r="L8" s="40" t="n">
        <v>5.28</v>
      </c>
      <c r="M8" s="40" t="n">
        <v>0.96</v>
      </c>
      <c r="N8" s="41" t="n">
        <v>0.0142</v>
      </c>
    </row>
    <row r="9">
      <c r="A9" s="42" t="n">
        <v>5</v>
      </c>
      <c r="B9" s="43" t="inlineStr">
        <is>
          <t>Sam LaPorta</t>
        </is>
      </c>
      <c r="C9" s="42" t="inlineStr">
        <is>
          <t>DET</t>
        </is>
      </c>
      <c r="D9" s="42" t="inlineStr">
        <is>
          <t>MIN</t>
        </is>
      </c>
      <c r="E9" s="44" t="n">
        <v>5700</v>
      </c>
      <c r="F9" s="38" t="n">
        <v>53.5</v>
      </c>
      <c r="G9" s="54" t="n">
        <v>220</v>
      </c>
      <c r="H9" s="38" t="n">
        <v>4.5</v>
      </c>
      <c r="I9" s="45" t="n">
        <v>0.3125</v>
      </c>
      <c r="J9" s="45" t="n">
        <v>9.48</v>
      </c>
      <c r="K9" s="45" t="n">
        <v>9.800000000000001</v>
      </c>
      <c r="L9" s="40" t="n">
        <v>9.609999999999999</v>
      </c>
      <c r="M9" s="40" t="n">
        <v>1.69</v>
      </c>
      <c r="N9" s="41" t="n">
        <v>0.146</v>
      </c>
    </row>
    <row r="10">
      <c r="A10" s="35" t="n">
        <v>6</v>
      </c>
      <c r="B10" s="36" t="inlineStr">
        <is>
          <t>Mike Gesicki</t>
        </is>
      </c>
      <c r="C10" s="35" t="inlineStr">
        <is>
          <t>CIN</t>
        </is>
      </c>
      <c r="D10" s="35" t="inlineStr">
        <is>
          <t>TEN</t>
        </is>
      </c>
      <c r="E10" s="37" t="n">
        <v>5300</v>
      </c>
      <c r="F10" s="38" t="n"/>
      <c r="G10" s="54" t="n">
        <v>220</v>
      </c>
      <c r="H10" s="38" t="n"/>
      <c r="I10" s="39" t="n">
        <v>0.3125</v>
      </c>
      <c r="J10" s="39" t="n">
        <v>1.88</v>
      </c>
      <c r="K10" s="39" t="n">
        <v>5.9</v>
      </c>
      <c r="L10" s="40" t="n">
        <v>3.49</v>
      </c>
      <c r="M10" s="40" t="n">
        <v>0.66</v>
      </c>
      <c r="N10" s="41" t="n">
        <v>0.0009</v>
      </c>
    </row>
    <row r="11">
      <c r="A11" s="42" t="n">
        <v>7</v>
      </c>
      <c r="B11" s="43" t="inlineStr">
        <is>
          <t>Travis Kelce</t>
        </is>
      </c>
      <c r="C11" s="42" t="inlineStr">
        <is>
          <t>KC</t>
        </is>
      </c>
      <c r="D11" s="42" t="inlineStr">
        <is>
          <t>DEN</t>
        </is>
      </c>
      <c r="E11" s="44" t="n">
        <v>5400</v>
      </c>
      <c r="F11" s="38" t="n"/>
      <c r="G11" s="54" t="n">
        <v>205</v>
      </c>
      <c r="H11" s="38" t="n"/>
      <c r="I11" s="45" t="n">
        <v>0.3279</v>
      </c>
      <c r="J11" s="45" t="n">
        <v>1.97</v>
      </c>
      <c r="K11" s="45" t="n">
        <v>8.5</v>
      </c>
      <c r="L11" s="40" t="n">
        <v>4.58</v>
      </c>
      <c r="M11" s="40" t="n">
        <v>0.85</v>
      </c>
      <c r="N11" s="41" t="n">
        <v>0.007</v>
      </c>
    </row>
    <row r="12">
      <c r="A12" s="42" t="n">
        <v>8</v>
      </c>
      <c r="B12" s="43" t="inlineStr">
        <is>
          <t>T.J. Hockenson</t>
        </is>
      </c>
      <c r="C12" s="42" t="inlineStr">
        <is>
          <t>MIN</t>
        </is>
      </c>
      <c r="D12" s="42" t="inlineStr">
        <is>
          <t>DET</t>
        </is>
      </c>
      <c r="E12" s="44" t="n">
        <v>5200</v>
      </c>
      <c r="F12" s="38" t="n">
        <v>37</v>
      </c>
      <c r="G12" s="54" t="n">
        <v>300</v>
      </c>
      <c r="H12" s="38" t="n">
        <v>4.5</v>
      </c>
      <c r="I12" s="45" t="n">
        <v>0.25</v>
      </c>
      <c r="J12" s="45" t="n">
        <v>7.45</v>
      </c>
      <c r="K12" s="45" t="n">
        <v>9.800000000000001</v>
      </c>
      <c r="L12" s="40" t="n">
        <v>8.390000000000001</v>
      </c>
      <c r="M12" s="40" t="n">
        <v>1.61</v>
      </c>
      <c r="N12" s="41" t="n">
        <v>0.1016</v>
      </c>
    </row>
    <row r="13">
      <c r="A13" s="42" t="n">
        <v>9</v>
      </c>
      <c r="B13" s="43" t="inlineStr">
        <is>
          <t>Dalton Kincaid</t>
        </is>
      </c>
      <c r="C13" s="42" t="inlineStr">
        <is>
          <t>BUF</t>
        </is>
      </c>
      <c r="D13" s="42" t="inlineStr">
        <is>
          <t>BAL</t>
        </is>
      </c>
      <c r="E13" s="44" t="n">
        <v>5600</v>
      </c>
      <c r="F13" s="38" t="n"/>
      <c r="G13" s="54" t="n">
        <v>180</v>
      </c>
      <c r="H13" s="38" t="n"/>
      <c r="I13" s="45" t="n">
        <v>0.3571</v>
      </c>
      <c r="J13" s="45" t="n">
        <v>2.14</v>
      </c>
      <c r="K13" s="45" t="n">
        <v>8.1</v>
      </c>
      <c r="L13" s="40" t="n">
        <v>4.53</v>
      </c>
      <c r="M13" s="40" t="n">
        <v>0.8100000000000001</v>
      </c>
      <c r="N13" s="41" t="n">
        <v>0.0063</v>
      </c>
    </row>
    <row r="14">
      <c r="A14" s="42" t="n">
        <v>10</v>
      </c>
      <c r="B14" s="43" t="inlineStr">
        <is>
          <t>Pat Freiermuth</t>
        </is>
      </c>
      <c r="C14" s="42" t="inlineStr">
        <is>
          <t>PIT</t>
        </is>
      </c>
      <c r="D14" s="42" t="inlineStr">
        <is>
          <t>CLE</t>
        </is>
      </c>
      <c r="E14" s="44" t="n">
        <v>5000</v>
      </c>
      <c r="F14" s="38" t="n"/>
      <c r="G14" s="54" t="n">
        <v>280</v>
      </c>
      <c r="H14" s="38" t="n"/>
      <c r="I14" s="45" t="n">
        <v>0.2632</v>
      </c>
      <c r="J14" s="45" t="n">
        <v>1.58</v>
      </c>
      <c r="K14" s="45" t="n">
        <v>7.9</v>
      </c>
      <c r="L14" s="40" t="n">
        <v>4.11</v>
      </c>
      <c r="M14" s="40" t="n">
        <v>0.82</v>
      </c>
      <c r="N14" s="41" t="n">
        <v>0.0039</v>
      </c>
    </row>
    <row r="15">
      <c r="A15" s="35" t="n">
        <v>11</v>
      </c>
      <c r="B15" s="36" t="inlineStr">
        <is>
          <t>Brenton Strange</t>
        </is>
      </c>
      <c r="C15" s="35" t="inlineStr">
        <is>
          <t>JAC</t>
        </is>
      </c>
      <c r="D15" s="35" t="inlineStr">
        <is>
          <t>IND</t>
        </is>
      </c>
      <c r="E15" s="37" t="n">
        <v>5100</v>
      </c>
      <c r="F15" s="38" t="n"/>
      <c r="G15" s="54" t="n">
        <v>235</v>
      </c>
      <c r="H15" s="38" t="n"/>
      <c r="I15" s="39" t="n">
        <v>0.2985</v>
      </c>
      <c r="J15" s="39" t="n">
        <v>1.79</v>
      </c>
      <c r="K15" s="39" t="n">
        <v>8.9</v>
      </c>
      <c r="L15" s="40" t="n">
        <v>4.63</v>
      </c>
      <c r="M15" s="40" t="n">
        <v>0.91</v>
      </c>
      <c r="N15" s="41" t="n">
        <v>0.008</v>
      </c>
    </row>
    <row r="16">
      <c r="A16" s="35" t="n">
        <v>12</v>
      </c>
      <c r="B16" s="36" t="inlineStr">
        <is>
          <t>Hunter Henry</t>
        </is>
      </c>
      <c r="C16" s="35" t="inlineStr">
        <is>
          <t>NE</t>
        </is>
      </c>
      <c r="D16" s="35" t="inlineStr">
        <is>
          <t>MIA</t>
        </is>
      </c>
      <c r="E16" s="37" t="n">
        <v>5200</v>
      </c>
      <c r="F16" s="38" t="n"/>
      <c r="G16" s="54" t="n">
        <v>190</v>
      </c>
      <c r="H16" s="38" t="n"/>
      <c r="I16" s="39" t="n">
        <v>0.3448</v>
      </c>
      <c r="J16" s="39" t="n">
        <v>2.07</v>
      </c>
      <c r="K16" s="39" t="n">
        <v>9.6</v>
      </c>
      <c r="L16" s="40" t="n">
        <v>5.08</v>
      </c>
      <c r="M16" s="40" t="n">
        <v>0.98</v>
      </c>
      <c r="N16" s="41" t="n">
        <v>0.0127</v>
      </c>
    </row>
    <row r="17">
      <c r="A17" s="42" t="n">
        <v>13</v>
      </c>
      <c r="B17" s="43" t="inlineStr">
        <is>
          <t>Harold Fannin Jr.</t>
        </is>
      </c>
      <c r="C17" s="42" t="inlineStr">
        <is>
          <t>CLE</t>
        </is>
      </c>
      <c r="D17" s="42" t="inlineStr">
        <is>
          <t>PIT</t>
        </is>
      </c>
      <c r="E17" s="44" t="n">
        <v>5500</v>
      </c>
      <c r="F17" s="38" t="n"/>
      <c r="G17" s="54" t="n">
        <v>205</v>
      </c>
      <c r="H17" s="38" t="n"/>
      <c r="I17" s="45" t="n">
        <v>0.3279</v>
      </c>
      <c r="J17" s="45" t="n">
        <v>1.97</v>
      </c>
      <c r="K17" s="45" t="n">
        <v>7.9</v>
      </c>
      <c r="L17" s="40" t="n">
        <v>4.34</v>
      </c>
      <c r="M17" s="40" t="n">
        <v>0.79</v>
      </c>
      <c r="N17" s="41" t="n">
        <v>0.005</v>
      </c>
    </row>
    <row r="18">
      <c r="A18" s="35" t="n">
        <v>14</v>
      </c>
      <c r="B18" s="36" t="inlineStr">
        <is>
          <t>Kyle Pitts Sr.</t>
        </is>
      </c>
      <c r="C18" s="35" t="inlineStr">
        <is>
          <t>ATL</t>
        </is>
      </c>
      <c r="D18" s="35" t="inlineStr">
        <is>
          <t>TB</t>
        </is>
      </c>
      <c r="E18" s="37" t="n">
        <v>5300</v>
      </c>
      <c r="F18" s="38" t="n"/>
      <c r="G18" s="54" t="n">
        <v>220</v>
      </c>
      <c r="H18" s="38" t="n"/>
      <c r="I18" s="39" t="n">
        <v>0.3125</v>
      </c>
      <c r="J18" s="39" t="n">
        <v>1.88</v>
      </c>
      <c r="K18" s="39" t="n">
        <v>9.300000000000001</v>
      </c>
      <c r="L18" s="40" t="n">
        <v>4.85</v>
      </c>
      <c r="M18" s="40" t="n">
        <v>0.91</v>
      </c>
      <c r="N18" s="41" t="n">
        <v>0.0098</v>
      </c>
    </row>
    <row r="19">
      <c r="A19" s="42" t="n">
        <v>15</v>
      </c>
      <c r="B19" s="43" t="inlineStr">
        <is>
          <t>Michael Mayer</t>
        </is>
      </c>
      <c r="C19" s="42" t="inlineStr">
        <is>
          <t>LV</t>
        </is>
      </c>
      <c r="D19" s="42" t="inlineStr">
        <is>
          <t>NYJ</t>
        </is>
      </c>
      <c r="E19" s="44" t="n">
        <v>4800</v>
      </c>
      <c r="F19" s="38" t="n"/>
      <c r="G19" s="54" t="n">
        <v>290</v>
      </c>
      <c r="H19" s="38" t="n"/>
      <c r="I19" s="45" t="n">
        <v>0.2564</v>
      </c>
      <c r="J19" s="45" t="n">
        <v>1.54</v>
      </c>
      <c r="K19" s="45" t="n">
        <v>6.4</v>
      </c>
      <c r="L19" s="40" t="n">
        <v>3.48</v>
      </c>
      <c r="M19" s="40" t="n">
        <v>0.73</v>
      </c>
      <c r="N19" s="41" t="n">
        <v>0.001</v>
      </c>
    </row>
    <row r="20">
      <c r="A20" s="35" t="n">
        <v>16</v>
      </c>
      <c r="B20" s="36" t="inlineStr">
        <is>
          <t>Tyler Higbee</t>
        </is>
      </c>
      <c r="C20" s="35" t="inlineStr">
        <is>
          <t>LAR</t>
        </is>
      </c>
      <c r="D20" s="35" t="inlineStr">
        <is>
          <t>LAC</t>
        </is>
      </c>
      <c r="E20" s="37" t="n">
        <v>4700</v>
      </c>
      <c r="F20" s="38" t="n"/>
      <c r="G20" s="54" t="n">
        <v>180</v>
      </c>
      <c r="H20" s="38" t="n"/>
      <c r="I20" s="39" t="n">
        <v>0.3571</v>
      </c>
      <c r="J20" s="39" t="n">
        <v>2.14</v>
      </c>
      <c r="K20" s="39" t="n">
        <v>5.8</v>
      </c>
      <c r="L20" s="40" t="n">
        <v>3.61</v>
      </c>
      <c r="M20" s="40" t="n">
        <v>0.77</v>
      </c>
      <c r="N20" s="41" t="n">
        <v>0.0015</v>
      </c>
    </row>
    <row r="21">
      <c r="A21" s="42" t="n">
        <v>17</v>
      </c>
      <c r="B21" s="43" t="inlineStr">
        <is>
          <t>Mason Taylor</t>
        </is>
      </c>
      <c r="C21" s="42" t="inlineStr">
        <is>
          <t>NYJ</t>
        </is>
      </c>
      <c r="D21" s="42" t="inlineStr">
        <is>
          <t>LV</t>
        </is>
      </c>
      <c r="E21" s="44" t="n">
        <v>5000</v>
      </c>
      <c r="F21" s="38" t="n"/>
      <c r="G21" s="54" t="n">
        <v>290</v>
      </c>
      <c r="H21" s="38" t="n"/>
      <c r="I21" s="45" t="n">
        <v>0.2564</v>
      </c>
      <c r="J21" s="45" t="n">
        <v>1.54</v>
      </c>
      <c r="K21" s="45" t="n">
        <v>7.9</v>
      </c>
      <c r="L21" s="40" t="n">
        <v>4.08</v>
      </c>
      <c r="M21" s="40" t="n">
        <v>0.82</v>
      </c>
      <c r="N21" s="41" t="n">
        <v>0.0038</v>
      </c>
    </row>
    <row r="22">
      <c r="A22" s="35" t="n">
        <v>18</v>
      </c>
      <c r="B22" s="36" t="inlineStr">
        <is>
          <t>Greg Dulcich</t>
        </is>
      </c>
      <c r="C22" s="35" t="inlineStr">
        <is>
          <t>MIA</t>
        </is>
      </c>
      <c r="D22" s="35" t="inlineStr">
        <is>
          <t>NE</t>
        </is>
      </c>
      <c r="E22" s="37" t="n">
        <v>5100</v>
      </c>
      <c r="F22" s="38" t="n"/>
      <c r="G22" s="54" t="n">
        <v>300</v>
      </c>
      <c r="H22" s="38" t="n"/>
      <c r="I22" s="39" t="n">
        <v>0.25</v>
      </c>
      <c r="J22" s="39" t="n">
        <v>1.5</v>
      </c>
      <c r="K22" s="39" t="n">
        <v>7.1</v>
      </c>
      <c r="L22" s="40" t="n">
        <v>3.74</v>
      </c>
      <c r="M22" s="40" t="n">
        <v>0.73</v>
      </c>
      <c r="N22" s="41" t="n">
        <v>0.0019</v>
      </c>
    </row>
    <row r="23">
      <c r="A23" s="42" t="n">
        <v>19</v>
      </c>
      <c r="B23" s="43" t="inlineStr">
        <is>
          <t>Darnell Washington</t>
        </is>
      </c>
      <c r="C23" s="42" t="inlineStr">
        <is>
          <t>PIT</t>
        </is>
      </c>
      <c r="D23" s="42" t="inlineStr">
        <is>
          <t>CLE</t>
        </is>
      </c>
      <c r="E23" s="44" t="n">
        <v>4800</v>
      </c>
      <c r="F23" s="38" t="n"/>
      <c r="G23" s="54" t="n">
        <v>240</v>
      </c>
      <c r="H23" s="38" t="n"/>
      <c r="I23" s="45" t="n">
        <v>0.2941</v>
      </c>
      <c r="J23" s="45" t="n">
        <v>1.76</v>
      </c>
      <c r="K23" s="45" t="n">
        <v>6</v>
      </c>
      <c r="L23" s="40" t="n">
        <v>3.46</v>
      </c>
      <c r="M23" s="40" t="n">
        <v>0.72</v>
      </c>
      <c r="N23" s="41" t="n">
        <v>0.0009</v>
      </c>
    </row>
    <row r="24">
      <c r="A24" s="35" t="n">
        <v>20</v>
      </c>
      <c r="B24" s="36" t="inlineStr">
        <is>
          <t>Ryan Miller</t>
        </is>
      </c>
      <c r="C24" s="35" t="inlineStr">
        <is>
          <t>NE</t>
        </is>
      </c>
      <c r="D24" s="35" t="inlineStr">
        <is>
          <t>MIA</t>
        </is>
      </c>
      <c r="E24" s="37" t="n">
        <v>4200</v>
      </c>
      <c r="F24" s="46" t="n"/>
      <c r="G24" s="54" t="n"/>
      <c r="H24" s="46" t="n"/>
      <c r="I24" s="39" t="n">
        <v>0.2941</v>
      </c>
      <c r="J24" s="39" t="n">
        <v>0</v>
      </c>
      <c r="K24" s="39" t="n">
        <v>0</v>
      </c>
      <c r="L24" s="40" t="n">
        <v>0</v>
      </c>
      <c r="M24" s="40" t="n">
        <v>0</v>
      </c>
      <c r="N24" s="41" t="n">
        <v>0.08</v>
      </c>
    </row>
    <row r="25">
      <c r="A25" s="42" t="n">
        <v>21</v>
      </c>
      <c r="B25" s="43" t="inlineStr">
        <is>
          <t>Kenyon Sadiq</t>
        </is>
      </c>
      <c r="C25" s="42" t="inlineStr">
        <is>
          <t>NYJ</t>
        </is>
      </c>
      <c r="D25" s="42" t="inlineStr">
        <is>
          <t>LV</t>
        </is>
      </c>
      <c r="E25" s="44" t="n">
        <v>4900</v>
      </c>
      <c r="F25" s="38" t="n"/>
      <c r="G25" s="54" t="n">
        <v>350</v>
      </c>
      <c r="H25" s="38" t="n"/>
      <c r="I25" s="45" t="n">
        <v>0.2222</v>
      </c>
      <c r="J25" s="45" t="n">
        <v>1.33</v>
      </c>
      <c r="K25" s="45" t="n">
        <v>4.4</v>
      </c>
      <c r="L25" s="40" t="n">
        <v>2.56</v>
      </c>
      <c r="M25" s="40" t="n">
        <v>0.52</v>
      </c>
      <c r="N25" s="41" t="n">
        <v>0</v>
      </c>
    </row>
    <row r="26">
      <c r="A26" s="42" t="n">
        <v>22</v>
      </c>
      <c r="B26" s="43" t="inlineStr">
        <is>
          <t>Mark Andrews</t>
        </is>
      </c>
      <c r="C26" s="42" t="inlineStr">
        <is>
          <t>BAL</t>
        </is>
      </c>
      <c r="D26" s="42" t="inlineStr">
        <is>
          <t>BUF</t>
        </is>
      </c>
      <c r="E26" s="44" t="n">
        <v>5200</v>
      </c>
      <c r="F26" s="46" t="n"/>
      <c r="G26" s="54" t="n">
        <v>220</v>
      </c>
      <c r="H26" s="46" t="n"/>
      <c r="I26" s="45" t="n">
        <v>0.3125</v>
      </c>
      <c r="J26" s="45" t="n">
        <v>1.88</v>
      </c>
      <c r="K26" s="45" t="n">
        <v>8.699999999999999</v>
      </c>
      <c r="L26" s="40" t="n">
        <v>4.61</v>
      </c>
      <c r="M26" s="40" t="n">
        <v>0.89</v>
      </c>
      <c r="N26" s="41" t="n">
        <v>0.0076</v>
      </c>
    </row>
    <row r="27">
      <c r="A27" s="42" t="n">
        <v>23</v>
      </c>
      <c r="B27" s="43" t="inlineStr">
        <is>
          <t>Terrance Ferguson</t>
        </is>
      </c>
      <c r="C27" s="42" t="inlineStr">
        <is>
          <t>LAR</t>
        </is>
      </c>
      <c r="D27" s="42" t="inlineStr">
        <is>
          <t>LAC</t>
        </is>
      </c>
      <c r="E27" s="44" t="n">
        <v>4900</v>
      </c>
      <c r="F27" s="38" t="n"/>
      <c r="G27" s="54" t="n"/>
      <c r="H27" s="38" t="n"/>
      <c r="I27" s="45" t="n">
        <v>0.1905</v>
      </c>
      <c r="J27" s="45" t="n">
        <v>0</v>
      </c>
      <c r="K27" s="45" t="n">
        <v>0</v>
      </c>
      <c r="L27" s="40" t="n">
        <v>0</v>
      </c>
      <c r="M27" s="40" t="n">
        <v>0</v>
      </c>
      <c r="N27" s="41" t="n">
        <v>0.08</v>
      </c>
    </row>
    <row r="28">
      <c r="A28" s="42" t="n">
        <v>24</v>
      </c>
      <c r="B28" s="43" t="inlineStr">
        <is>
          <t>Matt Hibner</t>
        </is>
      </c>
      <c r="C28" s="42" t="inlineStr">
        <is>
          <t>BAL</t>
        </is>
      </c>
      <c r="D28" s="42" t="inlineStr">
        <is>
          <t>BUF</t>
        </is>
      </c>
      <c r="E28" s="44" t="n">
        <v>4200</v>
      </c>
      <c r="F28" s="38" t="n"/>
      <c r="G28" s="54" t="n"/>
      <c r="H28" s="38" t="n"/>
      <c r="I28" s="45" t="n">
        <v>0.1481</v>
      </c>
      <c r="J28" s="45" t="n">
        <v>0</v>
      </c>
      <c r="K28" s="45" t="n">
        <v>1.6</v>
      </c>
      <c r="L28" s="40" t="n">
        <v>1.6</v>
      </c>
      <c r="M28" s="40" t="n">
        <v>0.38</v>
      </c>
      <c r="N28" s="41" t="n">
        <v>0</v>
      </c>
    </row>
    <row r="29">
      <c r="A29" s="42" t="n">
        <v>25</v>
      </c>
      <c r="B29" s="43" t="inlineStr">
        <is>
          <t>Jake Ferguson</t>
        </is>
      </c>
      <c r="C29" s="42" t="inlineStr">
        <is>
          <t>DAL</t>
        </is>
      </c>
      <c r="D29" s="42" t="inlineStr">
        <is>
          <t>ARI</t>
        </is>
      </c>
      <c r="E29" s="44" t="n">
        <v>5400</v>
      </c>
      <c r="F29" s="46" t="n"/>
      <c r="G29" s="54" t="n">
        <v>200</v>
      </c>
      <c r="H29" s="46" t="n"/>
      <c r="I29" s="45" t="n">
        <v>0.3333</v>
      </c>
      <c r="J29" s="45" t="n">
        <v>2</v>
      </c>
      <c r="K29" s="45" t="n">
        <v>4.9</v>
      </c>
      <c r="L29" s="40" t="n">
        <v>3.16</v>
      </c>
      <c r="M29" s="40" t="n">
        <v>0.59</v>
      </c>
      <c r="N29" s="41" t="n">
        <v>0.0001</v>
      </c>
    </row>
    <row r="30">
      <c r="A30" s="35" t="n">
        <v>26</v>
      </c>
      <c r="B30" s="36" t="inlineStr">
        <is>
          <t>Eli Raridon</t>
        </is>
      </c>
      <c r="C30" s="35" t="inlineStr">
        <is>
          <t>NE</t>
        </is>
      </c>
      <c r="D30" s="35" t="inlineStr">
        <is>
          <t>MIA</t>
        </is>
      </c>
      <c r="E30" s="37" t="n">
        <v>4500</v>
      </c>
      <c r="F30" s="38" t="n"/>
      <c r="G30" s="54" t="n">
        <v>190</v>
      </c>
      <c r="H30" s="38" t="n"/>
      <c r="I30" s="39" t="n">
        <v>0.3448</v>
      </c>
      <c r="J30" s="39" t="n">
        <v>2.07</v>
      </c>
      <c r="K30" s="39" t="n">
        <v>7.2</v>
      </c>
      <c r="L30" s="40" t="n">
        <v>4.12</v>
      </c>
      <c r="M30" s="40" t="n">
        <v>0.92</v>
      </c>
      <c r="N30" s="41" t="n">
        <v>0.0046</v>
      </c>
    </row>
    <row r="31">
      <c r="A31" s="35" t="n">
        <v>27</v>
      </c>
      <c r="B31" s="36" t="inlineStr">
        <is>
          <t>David Njoku</t>
        </is>
      </c>
      <c r="C31" s="35" t="inlineStr">
        <is>
          <t>LAC</t>
        </is>
      </c>
      <c r="D31" s="35" t="inlineStr">
        <is>
          <t>LAR</t>
        </is>
      </c>
      <c r="E31" s="37" t="n">
        <v>4700</v>
      </c>
      <c r="F31" s="38" t="n"/>
      <c r="G31" s="54" t="n"/>
      <c r="H31" s="38" t="n"/>
      <c r="I31" s="39" t="n">
        <v>0.2564</v>
      </c>
      <c r="J31" s="39" t="n">
        <v>0</v>
      </c>
      <c r="K31" s="39" t="n">
        <v>0</v>
      </c>
      <c r="L31" s="40" t="n">
        <v>0</v>
      </c>
      <c r="M31" s="40" t="n">
        <v>0</v>
      </c>
      <c r="N31" s="41" t="n">
        <v>0.08</v>
      </c>
    </row>
    <row r="32">
      <c r="A32" s="42" t="n">
        <v>28</v>
      </c>
      <c r="B32" s="43" t="inlineStr">
        <is>
          <t>Nate Adkins</t>
        </is>
      </c>
      <c r="C32" s="42" t="inlineStr">
        <is>
          <t>DEN</t>
        </is>
      </c>
      <c r="D32" s="42" t="inlineStr">
        <is>
          <t>KC</t>
        </is>
      </c>
      <c r="E32" s="44" t="n">
        <v>4100</v>
      </c>
      <c r="F32" s="46" t="n"/>
      <c r="G32" s="54" t="n">
        <v>1100</v>
      </c>
      <c r="H32" s="46" t="n"/>
      <c r="I32" s="45" t="n">
        <v>0.0833</v>
      </c>
      <c r="J32" s="45" t="n">
        <v>0.5</v>
      </c>
      <c r="K32" s="45" t="n">
        <v>0</v>
      </c>
      <c r="L32" s="40" t="n">
        <v>0.5</v>
      </c>
      <c r="M32" s="40" t="n">
        <v>0.12</v>
      </c>
      <c r="N32" s="41" t="n">
        <v>0</v>
      </c>
    </row>
    <row r="33">
      <c r="A33" s="35" t="n">
        <v>29</v>
      </c>
      <c r="B33" s="36" t="inlineStr">
        <is>
          <t>Elijah Higgins</t>
        </is>
      </c>
      <c r="C33" s="35" t="inlineStr">
        <is>
          <t>ARI</t>
        </is>
      </c>
      <c r="D33" s="35" t="inlineStr">
        <is>
          <t>DAL</t>
        </is>
      </c>
      <c r="E33" s="37" t="n">
        <v>4600</v>
      </c>
      <c r="F33" s="38" t="n"/>
      <c r="G33" s="54" t="n">
        <v>550</v>
      </c>
      <c r="H33" s="38" t="n"/>
      <c r="I33" s="39" t="n">
        <v>0.1538</v>
      </c>
      <c r="J33" s="39" t="n">
        <v>0.92</v>
      </c>
      <c r="K33" s="39" t="n">
        <v>3.8</v>
      </c>
      <c r="L33" s="40" t="n">
        <v>2.07</v>
      </c>
      <c r="M33" s="40" t="n">
        <v>0.45</v>
      </c>
      <c r="N33" s="41" t="n">
        <v>0</v>
      </c>
    </row>
    <row r="34">
      <c r="A34" s="35" t="n">
        <v>30</v>
      </c>
      <c r="B34" s="36" t="inlineStr">
        <is>
          <t>Josh Cuevas</t>
        </is>
      </c>
      <c r="C34" s="35" t="inlineStr">
        <is>
          <t>BAL</t>
        </is>
      </c>
      <c r="D34" s="35" t="inlineStr">
        <is>
          <t>BUF</t>
        </is>
      </c>
      <c r="E34" s="37" t="n">
        <v>4400</v>
      </c>
      <c r="F34" s="38" t="n"/>
      <c r="G34" s="54" t="n">
        <v>800</v>
      </c>
      <c r="H34" s="38" t="n"/>
      <c r="I34" s="39" t="n">
        <v>0.1111</v>
      </c>
      <c r="J34" s="39" t="n">
        <v>0.67</v>
      </c>
      <c r="K34" s="39" t="n">
        <v>1.6</v>
      </c>
      <c r="L34" s="40" t="n">
        <v>1.04</v>
      </c>
      <c r="M34" s="40" t="n">
        <v>0.24</v>
      </c>
      <c r="N34" s="41" t="n">
        <v>0</v>
      </c>
    </row>
    <row r="35">
      <c r="A35" s="42" t="n">
        <v>31</v>
      </c>
      <c r="B35" s="43" t="inlineStr">
        <is>
          <t>Cade Otton</t>
        </is>
      </c>
      <c r="C35" s="42" t="inlineStr">
        <is>
          <t>TB</t>
        </is>
      </c>
      <c r="D35" s="42" t="inlineStr">
        <is>
          <t>ATL</t>
        </is>
      </c>
      <c r="E35" s="44" t="n">
        <v>4800</v>
      </c>
      <c r="F35" s="38" t="n"/>
      <c r="G35" s="54" t="n">
        <v>230</v>
      </c>
      <c r="H35" s="38" t="n"/>
      <c r="I35" s="45" t="n">
        <v>0.303</v>
      </c>
      <c r="J35" s="45" t="n">
        <v>1.82</v>
      </c>
      <c r="K35" s="45" t="n">
        <v>6.4</v>
      </c>
      <c r="L35" s="40" t="n">
        <v>3.65</v>
      </c>
      <c r="M35" s="40" t="n">
        <v>0.76</v>
      </c>
      <c r="N35" s="41" t="n">
        <v>0.0016</v>
      </c>
    </row>
    <row r="36">
      <c r="A36" s="42" t="n">
        <v>32</v>
      </c>
      <c r="B36" s="43" t="inlineStr">
        <is>
          <t>Colby Parkinson</t>
        </is>
      </c>
      <c r="C36" s="42" t="inlineStr">
        <is>
          <t>LAR</t>
        </is>
      </c>
      <c r="D36" s="42" t="inlineStr">
        <is>
          <t>LAC</t>
        </is>
      </c>
      <c r="E36" s="44" t="n">
        <v>5100</v>
      </c>
      <c r="F36" s="46" t="n"/>
      <c r="G36" s="54" t="n">
        <v>240</v>
      </c>
      <c r="H36" s="46" t="n"/>
      <c r="I36" s="45" t="n">
        <v>0.2941</v>
      </c>
      <c r="J36" s="45" t="n">
        <v>1.76</v>
      </c>
      <c r="K36" s="45" t="n">
        <v>7.9</v>
      </c>
      <c r="L36" s="40" t="n">
        <v>4.22</v>
      </c>
      <c r="M36" s="40" t="n">
        <v>0.83</v>
      </c>
      <c r="N36" s="41" t="n">
        <v>0.0046</v>
      </c>
    </row>
    <row r="37">
      <c r="A37" s="35" t="n">
        <v>33</v>
      </c>
      <c r="B37" s="36" t="inlineStr">
        <is>
          <t>Oronde Gadsden II</t>
        </is>
      </c>
      <c r="C37" s="35" t="inlineStr">
        <is>
          <t>LAC</t>
        </is>
      </c>
      <c r="D37" s="35" t="inlineStr">
        <is>
          <t>LAR</t>
        </is>
      </c>
      <c r="E37" s="37" t="n">
        <v>5000</v>
      </c>
      <c r="F37" s="46" t="n"/>
      <c r="G37" s="54" t="n">
        <v>500</v>
      </c>
      <c r="H37" s="46" t="n"/>
      <c r="I37" s="39" t="n">
        <v>0.1667</v>
      </c>
      <c r="J37" s="39" t="n">
        <v>1</v>
      </c>
      <c r="K37" s="39" t="n">
        <v>3.4</v>
      </c>
      <c r="L37" s="40" t="n">
        <v>1.96</v>
      </c>
      <c r="M37" s="40" t="n">
        <v>0.39</v>
      </c>
      <c r="N37" s="41" t="n">
        <v>0</v>
      </c>
    </row>
    <row r="38">
      <c r="A38" s="35" t="n">
        <v>34</v>
      </c>
      <c r="B38" s="36" t="inlineStr">
        <is>
          <t>Evan Engram</t>
        </is>
      </c>
      <c r="C38" s="35" t="inlineStr">
        <is>
          <t>DEN</t>
        </is>
      </c>
      <c r="D38" s="35" t="inlineStr">
        <is>
          <t>KC</t>
        </is>
      </c>
      <c r="E38" s="37" t="n">
        <v>4900</v>
      </c>
      <c r="F38" s="38" t="n"/>
      <c r="G38" s="54" t="n">
        <v>450</v>
      </c>
      <c r="H38" s="38" t="n"/>
      <c r="I38" s="39" t="n">
        <v>0.1818</v>
      </c>
      <c r="J38" s="39" t="n">
        <v>1.09</v>
      </c>
      <c r="K38" s="39" t="n">
        <v>4.5</v>
      </c>
      <c r="L38" s="40" t="n">
        <v>2.45</v>
      </c>
      <c r="M38" s="40" t="n">
        <v>0.5</v>
      </c>
      <c r="N38" s="41" t="n">
        <v>0</v>
      </c>
    </row>
    <row r="39">
      <c r="A39" s="35" t="n">
        <v>35</v>
      </c>
      <c r="B39" s="36" t="inlineStr">
        <is>
          <t>Jeremy Ruckert</t>
        </is>
      </c>
      <c r="C39" s="35" t="inlineStr">
        <is>
          <t>NYJ</t>
        </is>
      </c>
      <c r="D39" s="35" t="inlineStr">
        <is>
          <t>LV</t>
        </is>
      </c>
      <c r="E39" s="37" t="n">
        <v>4300</v>
      </c>
      <c r="F39" s="38" t="n"/>
      <c r="G39" s="54" t="n">
        <v>1400</v>
      </c>
      <c r="H39" s="38" t="n"/>
      <c r="I39" s="39" t="n">
        <v>0.0667</v>
      </c>
      <c r="J39" s="39" t="n">
        <v>0.4</v>
      </c>
      <c r="K39" s="39" t="n">
        <v>0</v>
      </c>
      <c r="L39" s="40" t="n">
        <v>0.4</v>
      </c>
      <c r="M39" s="40" t="n">
        <v>0.09</v>
      </c>
      <c r="N39" s="41" t="n">
        <v>0</v>
      </c>
    </row>
    <row r="40">
      <c r="A40" s="42" t="n">
        <v>36</v>
      </c>
      <c r="B40" s="43" t="inlineStr">
        <is>
          <t>Noah Gray</t>
        </is>
      </c>
      <c r="C40" s="42" t="inlineStr">
        <is>
          <t>KC</t>
        </is>
      </c>
      <c r="D40" s="42" t="inlineStr">
        <is>
          <t>DEN</t>
        </is>
      </c>
      <c r="E40" s="44" t="n">
        <v>4400</v>
      </c>
      <c r="F40" s="46" t="n"/>
      <c r="G40" s="54" t="n">
        <v>550</v>
      </c>
      <c r="H40" s="46" t="n"/>
      <c r="I40" s="45" t="n">
        <v>0.1538</v>
      </c>
      <c r="J40" s="45" t="n">
        <v>0.92</v>
      </c>
      <c r="K40" s="45" t="n">
        <v>3.2</v>
      </c>
      <c r="L40" s="40" t="n">
        <v>1.83</v>
      </c>
      <c r="M40" s="40" t="n">
        <v>0.42</v>
      </c>
      <c r="N40" s="41" t="n">
        <v>0</v>
      </c>
    </row>
    <row r="41">
      <c r="A41" s="42" t="n">
        <v>37</v>
      </c>
      <c r="B41" s="43" t="inlineStr">
        <is>
          <t>Davis Allen</t>
        </is>
      </c>
      <c r="C41" s="42" t="inlineStr">
        <is>
          <t>LAR</t>
        </is>
      </c>
      <c r="D41" s="42" t="inlineStr">
        <is>
          <t>LAC</t>
        </is>
      </c>
      <c r="E41" s="44" t="n">
        <v>4400</v>
      </c>
      <c r="F41" s="38" t="n"/>
      <c r="G41" s="54" t="n">
        <v>240</v>
      </c>
      <c r="H41" s="38" t="n"/>
      <c r="I41" s="45" t="n">
        <v>0.2941</v>
      </c>
      <c r="J41" s="45" t="n">
        <v>1.76</v>
      </c>
      <c r="K41" s="45" t="n">
        <v>4.3</v>
      </c>
      <c r="L41" s="40" t="n">
        <v>2.78</v>
      </c>
      <c r="M41" s="40" t="n">
        <v>0.63</v>
      </c>
      <c r="N41" s="41" t="n">
        <v>0</v>
      </c>
    </row>
    <row r="42">
      <c r="A42" s="35" t="n">
        <v>38</v>
      </c>
      <c r="B42" s="36" t="inlineStr">
        <is>
          <t>Drew Sample</t>
        </is>
      </c>
      <c r="C42" s="35" t="inlineStr">
        <is>
          <t>CIN</t>
        </is>
      </c>
      <c r="D42" s="35" t="inlineStr">
        <is>
          <t>TEN</t>
        </is>
      </c>
      <c r="E42" s="37" t="n">
        <v>4500</v>
      </c>
      <c r="F42" s="38" t="n"/>
      <c r="G42" s="54" t="n">
        <v>300</v>
      </c>
      <c r="H42" s="38" t="n"/>
      <c r="I42" s="39" t="n">
        <v>0.25</v>
      </c>
      <c r="J42" s="39" t="n">
        <v>1.5</v>
      </c>
      <c r="K42" s="39" t="n">
        <v>2.2</v>
      </c>
      <c r="L42" s="40" t="n">
        <v>1.78</v>
      </c>
      <c r="M42" s="40" t="n">
        <v>0.4</v>
      </c>
      <c r="N42" s="41" t="n">
        <v>0</v>
      </c>
    </row>
    <row r="43">
      <c r="A43" s="42" t="n">
        <v>39</v>
      </c>
      <c r="B43" s="43" t="inlineStr">
        <is>
          <t>Austin Hooper</t>
        </is>
      </c>
      <c r="C43" s="42" t="inlineStr">
        <is>
          <t>ATL</t>
        </is>
      </c>
      <c r="D43" s="42" t="inlineStr">
        <is>
          <t>TB</t>
        </is>
      </c>
      <c r="E43" s="44" t="n">
        <v>4600</v>
      </c>
      <c r="F43" s="46" t="n"/>
      <c r="G43" s="54" t="n">
        <v>800</v>
      </c>
      <c r="H43" s="46" t="n"/>
      <c r="I43" s="45" t="n">
        <v>0.1111</v>
      </c>
      <c r="J43" s="45" t="n">
        <v>0.67</v>
      </c>
      <c r="K43" s="45" t="n">
        <v>1.8</v>
      </c>
      <c r="L43" s="40" t="n">
        <v>1.12</v>
      </c>
      <c r="M43" s="40" t="n">
        <v>0.24</v>
      </c>
      <c r="N43" s="41" t="n">
        <v>0</v>
      </c>
    </row>
    <row r="44">
      <c r="A44" s="42" t="n">
        <v>40</v>
      </c>
      <c r="B44" s="43" t="inlineStr">
        <is>
          <t>Tanner Hudson</t>
        </is>
      </c>
      <c r="C44" s="42" t="inlineStr">
        <is>
          <t>CIN</t>
        </is>
      </c>
      <c r="D44" s="42" t="inlineStr">
        <is>
          <t>TEN</t>
        </is>
      </c>
      <c r="E44" s="44" t="n">
        <v>4200</v>
      </c>
      <c r="F44" s="38" t="n"/>
      <c r="G44" s="54" t="n"/>
      <c r="H44" s="38" t="n"/>
      <c r="I44" s="45" t="n">
        <v>0.1818</v>
      </c>
      <c r="J44" s="45" t="n">
        <v>0</v>
      </c>
      <c r="K44" s="45" t="n">
        <v>0</v>
      </c>
      <c r="L44" s="40" t="n">
        <v>0</v>
      </c>
      <c r="M44" s="40" t="n">
        <v>0</v>
      </c>
      <c r="N44" s="41" t="n">
        <v>0.08</v>
      </c>
    </row>
    <row r="45">
      <c r="A45" s="35" t="n">
        <v>41</v>
      </c>
      <c r="B45" s="36" t="inlineStr">
        <is>
          <t>Ian Thomas</t>
        </is>
      </c>
      <c r="C45" s="35" t="inlineStr">
        <is>
          <t>LV</t>
        </is>
      </c>
      <c r="D45" s="35" t="inlineStr">
        <is>
          <t>NYJ</t>
        </is>
      </c>
      <c r="E45" s="37" t="n">
        <v>4200</v>
      </c>
      <c r="F45" s="38" t="n"/>
      <c r="G45" s="54" t="n">
        <v>1300</v>
      </c>
      <c r="H45" s="38" t="n"/>
      <c r="I45" s="39" t="n">
        <v>0.07140000000000001</v>
      </c>
      <c r="J45" s="39" t="n">
        <v>0.43</v>
      </c>
      <c r="K45" s="39" t="n">
        <v>1</v>
      </c>
      <c r="L45" s="40" t="n">
        <v>0.66</v>
      </c>
      <c r="M45" s="40" t="n">
        <v>0.16</v>
      </c>
      <c r="N45" s="41" t="n">
        <v>0</v>
      </c>
    </row>
    <row r="46">
      <c r="A46" s="35" t="n">
        <v>42</v>
      </c>
      <c r="B46" s="36" t="inlineStr">
        <is>
          <t>Nate Boerkircher</t>
        </is>
      </c>
      <c r="C46" s="35" t="inlineStr">
        <is>
          <t>JAC</t>
        </is>
      </c>
      <c r="D46" s="35" t="inlineStr">
        <is>
          <t>IND</t>
        </is>
      </c>
      <c r="E46" s="37" t="n">
        <v>4300</v>
      </c>
      <c r="F46" s="46" t="n"/>
      <c r="G46" s="54" t="n">
        <v>550</v>
      </c>
      <c r="H46" s="46" t="n"/>
      <c r="I46" s="39" t="n">
        <v>0.1538</v>
      </c>
      <c r="J46" s="39" t="n">
        <v>0.92</v>
      </c>
      <c r="K46" s="39" t="n">
        <v>2.6</v>
      </c>
      <c r="L46" s="40" t="n">
        <v>1.59</v>
      </c>
      <c r="M46" s="40" t="n">
        <v>0.37</v>
      </c>
      <c r="N46" s="41" t="n">
        <v>0</v>
      </c>
    </row>
    <row r="47">
      <c r="A47" s="42" t="n">
        <v>43</v>
      </c>
      <c r="B47" s="43" t="inlineStr">
        <is>
          <t>Mo Alie-Cox</t>
        </is>
      </c>
      <c r="C47" s="42" t="inlineStr">
        <is>
          <t>IND</t>
        </is>
      </c>
      <c r="D47" s="42" t="inlineStr">
        <is>
          <t>JAC</t>
        </is>
      </c>
      <c r="E47" s="44" t="n">
        <v>4500</v>
      </c>
      <c r="F47" s="46" t="n"/>
      <c r="G47" s="54" t="n">
        <v>750</v>
      </c>
      <c r="H47" s="46" t="n"/>
      <c r="I47" s="45" t="n">
        <v>0.1176</v>
      </c>
      <c r="J47" s="45" t="n">
        <v>0.71</v>
      </c>
      <c r="K47" s="45" t="n">
        <v>0</v>
      </c>
      <c r="L47" s="40" t="n">
        <v>0.71</v>
      </c>
      <c r="M47" s="40" t="n">
        <v>0.16</v>
      </c>
      <c r="N47" s="41" t="n">
        <v>0</v>
      </c>
    </row>
    <row r="48">
      <c r="A48" s="42" t="n">
        <v>44</v>
      </c>
      <c r="B48" s="43" t="inlineStr">
        <is>
          <t>Gunnar Helm</t>
        </is>
      </c>
      <c r="C48" s="42" t="inlineStr">
        <is>
          <t>TEN</t>
        </is>
      </c>
      <c r="D48" s="42" t="inlineStr">
        <is>
          <t>CIN</t>
        </is>
      </c>
      <c r="E48" s="44" t="n">
        <v>4500</v>
      </c>
      <c r="F48" s="46" t="n"/>
      <c r="G48" s="54" t="n">
        <v>500</v>
      </c>
      <c r="H48" s="46" t="n"/>
      <c r="I48" s="45" t="n">
        <v>0.1667</v>
      </c>
      <c r="J48" s="45" t="n">
        <v>1</v>
      </c>
      <c r="K48" s="45" t="n">
        <v>3.8</v>
      </c>
      <c r="L48" s="40" t="n">
        <v>2.12</v>
      </c>
      <c r="M48" s="40" t="n">
        <v>0.47</v>
      </c>
      <c r="N48" s="41" t="n">
        <v>0</v>
      </c>
    </row>
    <row r="49">
      <c r="A49" s="42" t="n">
        <v>45</v>
      </c>
      <c r="B49" s="43" t="inlineStr">
        <is>
          <t>Charlie Kolar</t>
        </is>
      </c>
      <c r="C49" s="42" t="inlineStr">
        <is>
          <t>LAC</t>
        </is>
      </c>
      <c r="D49" s="42" t="inlineStr">
        <is>
          <t>LAR</t>
        </is>
      </c>
      <c r="E49" s="44" t="n">
        <v>4600</v>
      </c>
      <c r="F49" s="46" t="n"/>
      <c r="G49" s="54" t="n">
        <v>400</v>
      </c>
      <c r="H49" s="46" t="n"/>
      <c r="I49" s="45" t="n">
        <v>0.2</v>
      </c>
      <c r="J49" s="45" t="n">
        <v>1.2</v>
      </c>
      <c r="K49" s="45" t="n">
        <v>4</v>
      </c>
      <c r="L49" s="40" t="n">
        <v>2.32</v>
      </c>
      <c r="M49" s="40" t="n">
        <v>0.5</v>
      </c>
      <c r="N49" s="41" t="n">
        <v>0</v>
      </c>
    </row>
    <row r="50">
      <c r="A50" s="35" t="n">
        <v>46</v>
      </c>
      <c r="B50" s="36" t="inlineStr">
        <is>
          <t>Erick All Jr.</t>
        </is>
      </c>
      <c r="C50" s="35" t="inlineStr">
        <is>
          <t>CIN</t>
        </is>
      </c>
      <c r="D50" s="35" t="inlineStr">
        <is>
          <t>TEN</t>
        </is>
      </c>
      <c r="E50" s="37" t="n">
        <v>4400</v>
      </c>
      <c r="F50" s="46" t="n"/>
      <c r="G50" s="54" t="n">
        <v>600</v>
      </c>
      <c r="H50" s="46" t="n"/>
      <c r="I50" s="39" t="n">
        <v>0.1429</v>
      </c>
      <c r="J50" s="39" t="n">
        <v>0.86</v>
      </c>
      <c r="K50" s="39" t="n">
        <v>4</v>
      </c>
      <c r="L50" s="40" t="n">
        <v>2.11</v>
      </c>
      <c r="M50" s="40" t="n">
        <v>0.48</v>
      </c>
      <c r="N50" s="41" t="n">
        <v>0</v>
      </c>
    </row>
    <row r="51">
      <c r="A51" s="50" t="n">
        <v>47</v>
      </c>
      <c r="B51" s="51" t="inlineStr">
        <is>
          <t>Hayden Rucci</t>
        </is>
      </c>
      <c r="C51" s="50" t="inlineStr">
        <is>
          <t>LAC</t>
        </is>
      </c>
      <c r="D51" s="50" t="inlineStr">
        <is>
          <t>LAR</t>
        </is>
      </c>
      <c r="E51" s="52" t="n">
        <v>4000</v>
      </c>
      <c r="F51" s="53" t="n"/>
      <c r="G51" s="55" t="n">
        <v>1400</v>
      </c>
      <c r="H51" s="53" t="n"/>
      <c r="I51" s="40" t="n">
        <v>0.0667</v>
      </c>
      <c r="J51" s="40" t="n">
        <v>0.4</v>
      </c>
      <c r="K51" s="40" t="n">
        <v>0</v>
      </c>
      <c r="L51" s="40" t="n">
        <v>0.4</v>
      </c>
      <c r="M51" s="40" t="n">
        <v>0.1</v>
      </c>
      <c r="N51" s="41" t="n">
        <v>0</v>
      </c>
    </row>
    <row r="52">
      <c r="A52" s="50" t="n">
        <v>48</v>
      </c>
      <c r="B52" s="51" t="inlineStr">
        <is>
          <t>Blake Whiteheart</t>
        </is>
      </c>
      <c r="C52" s="50" t="inlineStr">
        <is>
          <t>CLE</t>
        </is>
      </c>
      <c r="D52" s="50" t="inlineStr">
        <is>
          <t>PIT</t>
        </is>
      </c>
      <c r="E52" s="52" t="n">
        <v>4300</v>
      </c>
      <c r="F52" s="53" t="n"/>
      <c r="G52" s="55" t="n">
        <v>1100</v>
      </c>
      <c r="H52" s="53" t="n"/>
      <c r="I52" s="40" t="n">
        <v>0.0833</v>
      </c>
      <c r="J52" s="40" t="n">
        <v>0.5</v>
      </c>
      <c r="K52" s="40" t="n">
        <v>0</v>
      </c>
      <c r="L52" s="40" t="n">
        <v>0.5</v>
      </c>
      <c r="M52" s="40" t="n">
        <v>0.12</v>
      </c>
      <c r="N52" s="41" t="n">
        <v>0</v>
      </c>
    </row>
    <row r="53">
      <c r="A53" s="50" t="n">
        <v>49</v>
      </c>
      <c r="B53" s="51" t="inlineStr">
        <is>
          <t>Dawson Knox</t>
        </is>
      </c>
      <c r="C53" s="50" t="inlineStr">
        <is>
          <t>BUF</t>
        </is>
      </c>
      <c r="D53" s="50" t="inlineStr">
        <is>
          <t>BAL</t>
        </is>
      </c>
      <c r="E53" s="52" t="n">
        <v>4700</v>
      </c>
      <c r="F53" s="53" t="n"/>
      <c r="G53" s="55" t="n">
        <v>500</v>
      </c>
      <c r="H53" s="53" t="n"/>
      <c r="I53" s="40" t="n">
        <v>0.1667</v>
      </c>
      <c r="J53" s="40" t="n">
        <v>1</v>
      </c>
      <c r="K53" s="40" t="n">
        <v>3.2</v>
      </c>
      <c r="L53" s="40" t="n">
        <v>1.88</v>
      </c>
      <c r="M53" s="40" t="n">
        <v>0.4</v>
      </c>
      <c r="N53" s="41" t="n">
        <v>0</v>
      </c>
    </row>
    <row r="54">
      <c r="A54" s="50" t="n">
        <v>50</v>
      </c>
      <c r="B54" s="51" t="inlineStr">
        <is>
          <t>Gavin Bartholomew</t>
        </is>
      </c>
      <c r="C54" s="50" t="inlineStr">
        <is>
          <t>MIN</t>
        </is>
      </c>
      <c r="D54" s="50" t="inlineStr">
        <is>
          <t>DET</t>
        </is>
      </c>
      <c r="E54" s="52" t="n">
        <v>4300</v>
      </c>
      <c r="F54" s="40" t="n"/>
      <c r="G54" s="55" t="n">
        <v>1750</v>
      </c>
      <c r="H54" s="40" t="n"/>
      <c r="I54" s="40" t="n">
        <v>0.0541</v>
      </c>
      <c r="J54" s="40" t="n">
        <v>0.32</v>
      </c>
      <c r="K54" s="40" t="n">
        <v>2.2</v>
      </c>
      <c r="L54" s="40" t="n">
        <v>1.07</v>
      </c>
      <c r="M54" s="40" t="n">
        <v>0.25</v>
      </c>
      <c r="N54" s="41" t="n">
        <v>0</v>
      </c>
    </row>
    <row r="55">
      <c r="A55" s="50" t="n">
        <v>51</v>
      </c>
      <c r="B55" s="51" t="inlineStr">
        <is>
          <t>Julian Hill</t>
        </is>
      </c>
      <c r="C55" s="50" t="inlineStr">
        <is>
          <t>NE</t>
        </is>
      </c>
      <c r="D55" s="50" t="inlineStr">
        <is>
          <t>MIA</t>
        </is>
      </c>
      <c r="E55" s="52" t="n">
        <v>4000</v>
      </c>
      <c r="F55" s="40" t="n"/>
      <c r="G55" s="55" t="n"/>
      <c r="H55" s="40" t="n"/>
      <c r="I55" s="40" t="n">
        <v>0.16</v>
      </c>
      <c r="J55" s="40" t="n">
        <v>0</v>
      </c>
      <c r="K55" s="40" t="n">
        <v>0</v>
      </c>
      <c r="L55" s="40" t="n">
        <v>0</v>
      </c>
      <c r="M55" s="40" t="n">
        <v>0</v>
      </c>
      <c r="N55" s="41" t="n">
        <v>0.08</v>
      </c>
    </row>
    <row r="56">
      <c r="A56" s="50" t="n">
        <v>52</v>
      </c>
      <c r="B56" s="51" t="inlineStr">
        <is>
          <t>Josh Oliver</t>
        </is>
      </c>
      <c r="C56" s="50" t="inlineStr">
        <is>
          <t>MIN</t>
        </is>
      </c>
      <c r="D56" s="50" t="inlineStr">
        <is>
          <t>DET</t>
        </is>
      </c>
      <c r="E56" s="52" t="n">
        <v>4000</v>
      </c>
      <c r="F56" s="53" t="n"/>
      <c r="G56" s="55" t="n"/>
      <c r="H56" s="53" t="n"/>
      <c r="I56" s="40" t="n">
        <v>0.0769</v>
      </c>
      <c r="J56" s="40" t="n">
        <v>0</v>
      </c>
      <c r="K56" s="40" t="n">
        <v>0</v>
      </c>
      <c r="L56" s="40" t="n">
        <v>0</v>
      </c>
      <c r="M56" s="40" t="n">
        <v>0</v>
      </c>
      <c r="N56" s="41" t="n">
        <v>0.08</v>
      </c>
    </row>
    <row r="57">
      <c r="A57" s="50" t="n">
        <v>53</v>
      </c>
      <c r="B57" s="51" t="inlineStr">
        <is>
          <t>Tanner Conner</t>
        </is>
      </c>
      <c r="C57" s="50" t="inlineStr">
        <is>
          <t>NE</t>
        </is>
      </c>
      <c r="D57" s="50" t="inlineStr">
        <is>
          <t>MIA</t>
        </is>
      </c>
      <c r="E57" s="52" t="n">
        <v>4000</v>
      </c>
      <c r="F57" s="53" t="n"/>
      <c r="G57" s="55" t="n"/>
      <c r="H57" s="53" t="n"/>
      <c r="I57" s="40" t="n">
        <v>0.0323</v>
      </c>
      <c r="J57" s="40" t="n">
        <v>0</v>
      </c>
      <c r="K57" s="40" t="n">
        <v>0</v>
      </c>
      <c r="L57" s="40" t="n">
        <v>0</v>
      </c>
      <c r="M57" s="40" t="n">
        <v>0</v>
      </c>
      <c r="N57" s="41" t="n">
        <v>0.08</v>
      </c>
    </row>
    <row r="58">
      <c r="A58" s="50" t="n">
        <v>54</v>
      </c>
      <c r="B58" s="51" t="inlineStr">
        <is>
          <t>John FitzPatrick</t>
        </is>
      </c>
      <c r="C58" s="50" t="inlineStr">
        <is>
          <t>CLE</t>
        </is>
      </c>
      <c r="D58" s="50" t="inlineStr">
        <is>
          <t>PIT</t>
        </is>
      </c>
      <c r="E58" s="52" t="n">
        <v>4000</v>
      </c>
      <c r="F58" s="53" t="n"/>
      <c r="G58" s="55" t="n"/>
      <c r="H58" s="53" t="n"/>
      <c r="I58" s="40" t="n">
        <v>0.0278</v>
      </c>
      <c r="J58" s="40" t="n">
        <v>0</v>
      </c>
      <c r="K58" s="40" t="n">
        <v>0</v>
      </c>
      <c r="L58" s="40" t="n">
        <v>0</v>
      </c>
      <c r="M58" s="40" t="n">
        <v>0</v>
      </c>
      <c r="N58" s="41" t="n">
        <v>0.08</v>
      </c>
    </row>
    <row r="59">
      <c r="A59" s="50" t="n">
        <v>55</v>
      </c>
      <c r="B59" s="51" t="inlineStr">
        <is>
          <t>Brevyn Spann-Ford</t>
        </is>
      </c>
      <c r="C59" s="50" t="inlineStr">
        <is>
          <t>DAL</t>
        </is>
      </c>
      <c r="D59" s="50" t="inlineStr">
        <is>
          <t>ARI</t>
        </is>
      </c>
      <c r="E59" s="52" t="n">
        <v>4200</v>
      </c>
      <c r="F59" s="53" t="n"/>
      <c r="G59" s="55" t="n">
        <v>350</v>
      </c>
      <c r="H59" s="53" t="n"/>
      <c r="I59" s="40" t="n">
        <v>0.2222</v>
      </c>
      <c r="J59" s="40" t="n">
        <v>1.33</v>
      </c>
      <c r="K59" s="40" t="n">
        <v>2.9</v>
      </c>
      <c r="L59" s="40" t="n">
        <v>1.96</v>
      </c>
      <c r="M59" s="40" t="n">
        <v>0.47</v>
      </c>
      <c r="N59" s="41" t="n">
        <v>0</v>
      </c>
    </row>
    <row r="60">
      <c r="A60" s="50" t="n">
        <v>56</v>
      </c>
      <c r="B60" s="51" t="inlineStr">
        <is>
          <t>Luke Schoonmaker</t>
        </is>
      </c>
      <c r="C60" s="50" t="inlineStr">
        <is>
          <t>DAL</t>
        </is>
      </c>
      <c r="D60" s="50" t="inlineStr">
        <is>
          <t>ARI</t>
        </is>
      </c>
      <c r="E60" s="52" t="n">
        <v>4200</v>
      </c>
      <c r="F60" s="53" t="n"/>
      <c r="G60" s="55" t="n">
        <v>800</v>
      </c>
      <c r="H60" s="53" t="n"/>
      <c r="I60" s="40" t="n">
        <v>0.1111</v>
      </c>
      <c r="J60" s="40" t="n">
        <v>0.67</v>
      </c>
      <c r="K60" s="40" t="n">
        <v>0</v>
      </c>
      <c r="L60" s="40" t="n">
        <v>0.67</v>
      </c>
      <c r="M60" s="40" t="n">
        <v>0.16</v>
      </c>
      <c r="N60" s="41" t="n">
        <v>0</v>
      </c>
    </row>
    <row r="61">
      <c r="A61" s="50" t="n">
        <v>57</v>
      </c>
      <c r="B61" s="51" t="inlineStr">
        <is>
          <t>Will Mallory</t>
        </is>
      </c>
      <c r="C61" s="50" t="inlineStr">
        <is>
          <t>IND</t>
        </is>
      </c>
      <c r="D61" s="50" t="inlineStr">
        <is>
          <t>JAC</t>
        </is>
      </c>
      <c r="E61" s="52" t="n">
        <v>4300</v>
      </c>
      <c r="F61" s="40" t="n"/>
      <c r="G61" s="55" t="n">
        <v>450</v>
      </c>
      <c r="H61" s="40" t="n"/>
      <c r="I61" s="40" t="n">
        <v>0.1818</v>
      </c>
      <c r="J61" s="40" t="n">
        <v>1.09</v>
      </c>
      <c r="K61" s="40" t="n">
        <v>1.3</v>
      </c>
      <c r="L61" s="40" t="n">
        <v>1.17</v>
      </c>
      <c r="M61" s="40" t="n">
        <v>0.27</v>
      </c>
      <c r="N61" s="41" t="n">
        <v>0</v>
      </c>
    </row>
    <row r="62">
      <c r="A62" s="50" t="n">
        <v>58</v>
      </c>
      <c r="B62" s="51" t="inlineStr">
        <is>
          <t>Ben Yurosek</t>
        </is>
      </c>
      <c r="C62" s="50" t="inlineStr">
        <is>
          <t>MIN</t>
        </is>
      </c>
      <c r="D62" s="50" t="inlineStr">
        <is>
          <t>DET</t>
        </is>
      </c>
      <c r="E62" s="52" t="n">
        <v>4000</v>
      </c>
      <c r="F62" s="53" t="n"/>
      <c r="G62" s="55" t="n">
        <v>1800</v>
      </c>
      <c r="H62" s="53" t="n"/>
      <c r="I62" s="40" t="n">
        <v>0.0526</v>
      </c>
      <c r="J62" s="40" t="n">
        <v>0.32</v>
      </c>
      <c r="K62" s="40" t="n">
        <v>0</v>
      </c>
      <c r="L62" s="40" t="n">
        <v>0.32</v>
      </c>
      <c r="M62" s="40" t="n">
        <v>0.08</v>
      </c>
      <c r="N62" s="41" t="n">
        <v>0</v>
      </c>
    </row>
    <row r="63">
      <c r="A63" s="50" t="n">
        <v>59</v>
      </c>
      <c r="B63" s="51" t="inlineStr">
        <is>
          <t>Nick Muse</t>
        </is>
      </c>
      <c r="C63" s="50" t="inlineStr">
        <is>
          <t>ATL</t>
        </is>
      </c>
      <c r="D63" s="50" t="inlineStr">
        <is>
          <t>TB</t>
        </is>
      </c>
      <c r="E63" s="52" t="n">
        <v>4100</v>
      </c>
      <c r="F63" s="53" t="n"/>
      <c r="G63" s="55" t="n">
        <v>2400</v>
      </c>
      <c r="H63" s="53" t="n"/>
      <c r="I63" s="40" t="n">
        <v>0.04</v>
      </c>
      <c r="J63" s="40" t="n">
        <v>0.24</v>
      </c>
      <c r="K63" s="40" t="n">
        <v>0</v>
      </c>
      <c r="L63" s="40" t="n">
        <v>0.24</v>
      </c>
      <c r="M63" s="40" t="n">
        <v>0.06</v>
      </c>
      <c r="N63" s="41" t="n">
        <v>0</v>
      </c>
    </row>
    <row r="64">
      <c r="A64" s="50" t="n">
        <v>60</v>
      </c>
      <c r="B64" s="51" t="inlineStr">
        <is>
          <t>James Mitchell</t>
        </is>
      </c>
      <c r="C64" s="50" t="inlineStr">
        <is>
          <t>DAL</t>
        </is>
      </c>
      <c r="D64" s="50" t="inlineStr">
        <is>
          <t>ARI</t>
        </is>
      </c>
      <c r="E64" s="52" t="n">
        <v>4000</v>
      </c>
      <c r="F64" s="53" t="n"/>
      <c r="G64" s="55" t="n"/>
      <c r="H64" s="53" t="n"/>
      <c r="I64" s="40" t="n">
        <v>0.0244</v>
      </c>
      <c r="J64" s="40" t="n">
        <v>0</v>
      </c>
      <c r="K64" s="40" t="n">
        <v>0</v>
      </c>
      <c r="L64" s="40" t="n">
        <v>0</v>
      </c>
      <c r="M64" s="40" t="n">
        <v>0</v>
      </c>
      <c r="N64" s="41" t="n">
        <v>0.08</v>
      </c>
    </row>
    <row r="65">
      <c r="A65" s="50" t="n">
        <v>61</v>
      </c>
      <c r="B65" s="51" t="inlineStr">
        <is>
          <t>Brenden Bates</t>
        </is>
      </c>
      <c r="C65" s="50" t="inlineStr">
        <is>
          <t>JAC</t>
        </is>
      </c>
      <c r="D65" s="50" t="inlineStr">
        <is>
          <t>IND</t>
        </is>
      </c>
      <c r="E65" s="52" t="n">
        <v>4000</v>
      </c>
      <c r="F65" s="53" t="n"/>
      <c r="G65" s="55" t="n"/>
      <c r="H65" s="53" t="n"/>
      <c r="I65" s="40" t="n">
        <v>0.0667</v>
      </c>
      <c r="J65" s="40" t="n">
        <v>0</v>
      </c>
      <c r="K65" s="40" t="n">
        <v>0</v>
      </c>
      <c r="L65" s="40" t="n">
        <v>0</v>
      </c>
      <c r="M65" s="40" t="n">
        <v>0</v>
      </c>
      <c r="N65" s="41" t="n">
        <v>0.08</v>
      </c>
    </row>
    <row r="66">
      <c r="A66" s="50" t="n">
        <v>62</v>
      </c>
      <c r="B66" s="51" t="inlineStr">
        <is>
          <t>Lucas Krull</t>
        </is>
      </c>
      <c r="C66" s="50" t="inlineStr">
        <is>
          <t>DEN</t>
        </is>
      </c>
      <c r="D66" s="50" t="inlineStr">
        <is>
          <t>KC</t>
        </is>
      </c>
      <c r="E66" s="52" t="n">
        <v>4000</v>
      </c>
      <c r="F66" s="53" t="n"/>
      <c r="G66" s="55" t="n"/>
      <c r="H66" s="53" t="n"/>
      <c r="I66" s="40" t="n">
        <v>0.0345</v>
      </c>
      <c r="J66" s="40" t="n">
        <v>0</v>
      </c>
      <c r="K66" s="40" t="n">
        <v>0</v>
      </c>
      <c r="L66" s="40" t="n">
        <v>0</v>
      </c>
      <c r="M66" s="40" t="n">
        <v>0</v>
      </c>
      <c r="N66" s="41" t="n">
        <v>0.08</v>
      </c>
    </row>
    <row r="67">
      <c r="A67" s="50" t="n">
        <v>63</v>
      </c>
      <c r="B67" s="51" t="inlineStr">
        <is>
          <t>Pharaoh Brown</t>
        </is>
      </c>
      <c r="C67" s="50" t="inlineStr">
        <is>
          <t>IND</t>
        </is>
      </c>
      <c r="D67" s="50" t="inlineStr">
        <is>
          <t>JAC</t>
        </is>
      </c>
      <c r="E67" s="52" t="n">
        <v>4000</v>
      </c>
      <c r="F67" s="53" t="n"/>
      <c r="G67" s="55" t="n">
        <v>1900</v>
      </c>
      <c r="H67" s="53" t="n"/>
      <c r="I67" s="40" t="n">
        <v>0.05</v>
      </c>
      <c r="J67" s="40" t="n">
        <v>0.3</v>
      </c>
      <c r="K67" s="40" t="n">
        <v>0</v>
      </c>
      <c r="L67" s="40" t="n">
        <v>0.3</v>
      </c>
      <c r="M67" s="40" t="n">
        <v>0.08</v>
      </c>
      <c r="N67" s="41" t="n">
        <v>0</v>
      </c>
    </row>
    <row r="68">
      <c r="A68" s="50" t="n">
        <v>64</v>
      </c>
      <c r="B68" s="51" t="inlineStr">
        <is>
          <t>Jelani Woods</t>
        </is>
      </c>
      <c r="C68" s="50" t="inlineStr">
        <is>
          <t>NYJ</t>
        </is>
      </c>
      <c r="D68" s="50" t="inlineStr">
        <is>
          <t>LV</t>
        </is>
      </c>
      <c r="E68" s="52" t="n">
        <v>4200</v>
      </c>
      <c r="F68" s="53" t="n"/>
      <c r="G68" s="55" t="n">
        <v>1700</v>
      </c>
      <c r="H68" s="53" t="n"/>
      <c r="I68" s="40" t="n">
        <v>0.0556</v>
      </c>
      <c r="J68" s="40" t="n">
        <v>0.33</v>
      </c>
      <c r="K68" s="40" t="n">
        <v>1.5</v>
      </c>
      <c r="L68" s="40" t="n">
        <v>0.8</v>
      </c>
      <c r="M68" s="40" t="n">
        <v>0.19</v>
      </c>
      <c r="N68" s="41" t="n">
        <v>0</v>
      </c>
    </row>
    <row r="69">
      <c r="A69" s="50" t="n">
        <v>65</v>
      </c>
      <c r="B69" s="51" t="inlineStr">
        <is>
          <t>Brock Wright</t>
        </is>
      </c>
      <c r="C69" s="50" t="inlineStr">
        <is>
          <t>DET</t>
        </is>
      </c>
      <c r="D69" s="50" t="inlineStr">
        <is>
          <t>MIN</t>
        </is>
      </c>
      <c r="E69" s="52" t="n">
        <v>4400</v>
      </c>
      <c r="F69" s="53" t="n"/>
      <c r="G69" s="55" t="n">
        <v>1200</v>
      </c>
      <c r="H69" s="53" t="n"/>
      <c r="I69" s="40" t="n">
        <v>0.0769</v>
      </c>
      <c r="J69" s="40" t="n">
        <v>0.46</v>
      </c>
      <c r="K69" s="40" t="n">
        <v>0</v>
      </c>
      <c r="L69" s="40" t="n">
        <v>0.46</v>
      </c>
      <c r="M69" s="40" t="n">
        <v>0.1</v>
      </c>
      <c r="N69" s="41" t="n">
        <v>0</v>
      </c>
    </row>
    <row r="70">
      <c r="A70" s="50" t="n">
        <v>66</v>
      </c>
      <c r="B70" s="51" t="inlineStr">
        <is>
          <t>Daniel Bellinger</t>
        </is>
      </c>
      <c r="C70" s="50" t="inlineStr">
        <is>
          <t>TEN</t>
        </is>
      </c>
      <c r="D70" s="50" t="inlineStr">
        <is>
          <t>CIN</t>
        </is>
      </c>
      <c r="E70" s="52" t="n">
        <v>4300</v>
      </c>
      <c r="F70" s="53" t="n"/>
      <c r="G70" s="55" t="n">
        <v>1000</v>
      </c>
      <c r="H70" s="53" t="n"/>
      <c r="I70" s="40" t="n">
        <v>0.09089999999999999</v>
      </c>
      <c r="J70" s="40" t="n">
        <v>0.55</v>
      </c>
      <c r="K70" s="40" t="n">
        <v>2.2</v>
      </c>
      <c r="L70" s="40" t="n">
        <v>1.21</v>
      </c>
      <c r="M70" s="40" t="n">
        <v>0.28</v>
      </c>
      <c r="N70" s="41" t="n">
        <v>0</v>
      </c>
    </row>
    <row r="71">
      <c r="A71" s="50" t="n">
        <v>67</v>
      </c>
      <c r="B71" s="51" t="inlineStr">
        <is>
          <t>Cam Grandy</t>
        </is>
      </c>
      <c r="C71" s="50" t="inlineStr">
        <is>
          <t>MIN</t>
        </is>
      </c>
      <c r="D71" s="50" t="inlineStr">
        <is>
          <t>DET</t>
        </is>
      </c>
      <c r="E71" s="52" t="n">
        <v>4000</v>
      </c>
      <c r="F71" s="53" t="n"/>
      <c r="G71" s="55" t="n"/>
      <c r="H71" s="53" t="n"/>
      <c r="I71" s="40" t="n">
        <v>0.0435</v>
      </c>
      <c r="J71" s="40" t="n">
        <v>0</v>
      </c>
      <c r="K71" s="40" t="n">
        <v>0</v>
      </c>
      <c r="L71" s="40" t="n">
        <v>0</v>
      </c>
      <c r="M71" s="40" t="n">
        <v>0</v>
      </c>
      <c r="N71" s="41" t="n">
        <v>0.08</v>
      </c>
    </row>
    <row r="72">
      <c r="A72" s="50" t="n">
        <v>68</v>
      </c>
      <c r="B72" s="51" t="inlineStr">
        <is>
          <t>Hunter Long</t>
        </is>
      </c>
      <c r="C72" s="50" t="inlineStr">
        <is>
          <t>ARI</t>
        </is>
      </c>
      <c r="D72" s="50" t="inlineStr">
        <is>
          <t>DAL</t>
        </is>
      </c>
      <c r="E72" s="52" t="n">
        <v>4000</v>
      </c>
      <c r="F72" s="53" t="n"/>
      <c r="G72" s="55" t="n"/>
      <c r="H72" s="53" t="n"/>
      <c r="I72" s="40" t="n">
        <v>0.0385</v>
      </c>
      <c r="J72" s="40" t="n">
        <v>0</v>
      </c>
      <c r="K72" s="40" t="n">
        <v>0</v>
      </c>
      <c r="L72" s="40" t="n">
        <v>0</v>
      </c>
      <c r="M72" s="40" t="n">
        <v>0</v>
      </c>
      <c r="N72" s="41" t="n">
        <v>0.08</v>
      </c>
    </row>
    <row r="73">
      <c r="A73" s="50" t="n">
        <v>69</v>
      </c>
      <c r="B73" s="51" t="inlineStr">
        <is>
          <t>Will Kacmarek</t>
        </is>
      </c>
      <c r="C73" s="50" t="inlineStr">
        <is>
          <t>MIA</t>
        </is>
      </c>
      <c r="D73" s="50" t="inlineStr">
        <is>
          <t>NE</t>
        </is>
      </c>
      <c r="E73" s="52" t="n">
        <v>4300</v>
      </c>
      <c r="F73" s="53" t="n"/>
      <c r="G73" s="55" t="n">
        <v>800</v>
      </c>
      <c r="H73" s="53" t="n"/>
      <c r="I73" s="40" t="n">
        <v>0.1111</v>
      </c>
      <c r="J73" s="40" t="n">
        <v>0.67</v>
      </c>
      <c r="K73" s="40" t="n">
        <v>1.9</v>
      </c>
      <c r="L73" s="40" t="n">
        <v>1.16</v>
      </c>
      <c r="M73" s="40" t="n">
        <v>0.27</v>
      </c>
      <c r="N73" s="41" t="n">
        <v>0</v>
      </c>
    </row>
    <row r="74">
      <c r="A74" s="50" t="n">
        <v>70</v>
      </c>
      <c r="B74" s="51" t="inlineStr">
        <is>
          <t>Charlie Woerner</t>
        </is>
      </c>
      <c r="C74" s="50" t="inlineStr">
        <is>
          <t>ATL</t>
        </is>
      </c>
      <c r="D74" s="50" t="inlineStr">
        <is>
          <t>TB</t>
        </is>
      </c>
      <c r="E74" s="52" t="n">
        <v>4000</v>
      </c>
      <c r="F74" s="53" t="n"/>
      <c r="G74" s="55" t="n">
        <v>1700</v>
      </c>
      <c r="H74" s="53" t="n"/>
      <c r="I74" s="40" t="n">
        <v>0.0556</v>
      </c>
      <c r="J74" s="40" t="n">
        <v>0.33</v>
      </c>
      <c r="K74" s="40" t="n">
        <v>0</v>
      </c>
      <c r="L74" s="40" t="n">
        <v>0.33</v>
      </c>
      <c r="M74" s="40" t="n">
        <v>0.08</v>
      </c>
      <c r="N74" s="41" t="n">
        <v>0</v>
      </c>
    </row>
    <row r="75">
      <c r="A75" s="50" t="n">
        <v>71</v>
      </c>
      <c r="B75" s="51" t="inlineStr">
        <is>
          <t>Robert Tonyan</t>
        </is>
      </c>
      <c r="C75" s="50" t="inlineStr">
        <is>
          <t>PIT</t>
        </is>
      </c>
      <c r="D75" s="50" t="inlineStr">
        <is>
          <t>CLE</t>
        </is>
      </c>
      <c r="E75" s="52" t="n">
        <v>4000</v>
      </c>
      <c r="F75" s="53" t="n"/>
      <c r="G75" s="55" t="n">
        <v>1300</v>
      </c>
      <c r="H75" s="53" t="n"/>
      <c r="I75" s="40" t="n">
        <v>0.07140000000000001</v>
      </c>
      <c r="J75" s="40" t="n">
        <v>0.43</v>
      </c>
      <c r="K75" s="40" t="n">
        <v>0</v>
      </c>
      <c r="L75" s="40" t="n">
        <v>0.43</v>
      </c>
      <c r="M75" s="40" t="n">
        <v>0.11</v>
      </c>
      <c r="N75" s="41" t="n">
        <v>0</v>
      </c>
    </row>
    <row r="76">
      <c r="A76" s="50" t="n">
        <v>72</v>
      </c>
      <c r="B76" s="51" t="inlineStr">
        <is>
          <t>Drew Ogletree</t>
        </is>
      </c>
      <c r="C76" s="50" t="inlineStr">
        <is>
          <t>IND</t>
        </is>
      </c>
      <c r="D76" s="50" t="inlineStr">
        <is>
          <t>JAC</t>
        </is>
      </c>
      <c r="E76" s="52" t="n">
        <v>4200</v>
      </c>
      <c r="F76" s="53" t="n"/>
      <c r="G76" s="55" t="n">
        <v>1300</v>
      </c>
      <c r="H76" s="53" t="n"/>
      <c r="I76" s="40" t="n">
        <v>0.07140000000000001</v>
      </c>
      <c r="J76" s="40" t="n">
        <v>0.43</v>
      </c>
      <c r="K76" s="40" t="n">
        <v>0</v>
      </c>
      <c r="L76" s="40" t="n">
        <v>0.43</v>
      </c>
      <c r="M76" s="40" t="n">
        <v>0.1</v>
      </c>
      <c r="N76" s="41" t="n">
        <v>0</v>
      </c>
    </row>
    <row r="77">
      <c r="A77" s="50" t="n">
        <v>73</v>
      </c>
      <c r="B77" s="51" t="inlineStr">
        <is>
          <t>Payne Durham</t>
        </is>
      </c>
      <c r="C77" s="50" t="inlineStr">
        <is>
          <t>TB</t>
        </is>
      </c>
      <c r="D77" s="50" t="inlineStr">
        <is>
          <t>ATL</t>
        </is>
      </c>
      <c r="E77" s="52" t="n">
        <v>4100</v>
      </c>
      <c r="F77" s="53" t="n"/>
      <c r="G77" s="55" t="n">
        <v>1400</v>
      </c>
      <c r="H77" s="53" t="n"/>
      <c r="I77" s="40" t="n">
        <v>0.0667</v>
      </c>
      <c r="J77" s="40" t="n">
        <v>0.4</v>
      </c>
      <c r="K77" s="40" t="n">
        <v>0</v>
      </c>
      <c r="L77" s="40" t="n">
        <v>0.4</v>
      </c>
      <c r="M77" s="40" t="n">
        <v>0.1</v>
      </c>
      <c r="N77" s="41" t="n">
        <v>0</v>
      </c>
    </row>
    <row r="78">
      <c r="A78" s="50" t="n">
        <v>74</v>
      </c>
      <c r="B78" s="51" t="inlineStr">
        <is>
          <t>Connor Heyward</t>
        </is>
      </c>
      <c r="C78" s="50" t="inlineStr">
        <is>
          <t>LV</t>
        </is>
      </c>
      <c r="D78" s="50" t="inlineStr">
        <is>
          <t>NYJ</t>
        </is>
      </c>
      <c r="E78" s="52" t="n">
        <v>4000</v>
      </c>
      <c r="F78" s="53" t="n"/>
      <c r="G78" s="55" t="n">
        <v>800</v>
      </c>
      <c r="H78" s="53" t="n"/>
      <c r="I78" s="40" t="n">
        <v>0.1111</v>
      </c>
      <c r="J78" s="40" t="n">
        <v>0.67</v>
      </c>
      <c r="K78" s="40" t="n">
        <v>0</v>
      </c>
      <c r="L78" s="40" t="n">
        <v>0.67</v>
      </c>
      <c r="M78" s="40" t="n">
        <v>0.17</v>
      </c>
      <c r="N78" s="41" t="n">
        <v>0</v>
      </c>
    </row>
    <row r="79">
      <c r="A79" s="50" t="n">
        <v>75</v>
      </c>
      <c r="B79" s="51" t="inlineStr">
        <is>
          <t>Adam Trautman</t>
        </is>
      </c>
      <c r="C79" s="50" t="inlineStr">
        <is>
          <t>DEN</t>
        </is>
      </c>
      <c r="D79" s="50" t="inlineStr">
        <is>
          <t>KC</t>
        </is>
      </c>
      <c r="E79" s="52" t="n">
        <v>4300</v>
      </c>
      <c r="F79" s="53" t="n"/>
      <c r="G79" s="55" t="n">
        <v>1000</v>
      </c>
      <c r="H79" s="53" t="n"/>
      <c r="I79" s="40" t="n">
        <v>0.09089999999999999</v>
      </c>
      <c r="J79" s="40" t="n">
        <v>0.55</v>
      </c>
      <c r="K79" s="40" t="n">
        <v>1.3</v>
      </c>
      <c r="L79" s="40" t="n">
        <v>0.85</v>
      </c>
      <c r="M79" s="40" t="n">
        <v>0.2</v>
      </c>
      <c r="N79" s="41" t="n">
        <v>0</v>
      </c>
    </row>
    <row r="80">
      <c r="A80" s="50" t="n">
        <v>76</v>
      </c>
      <c r="B80" s="51" t="inlineStr">
        <is>
          <t>Jake Briningstool</t>
        </is>
      </c>
      <c r="C80" s="50" t="inlineStr">
        <is>
          <t>KC</t>
        </is>
      </c>
      <c r="D80" s="50" t="inlineStr">
        <is>
          <t>DEN</t>
        </is>
      </c>
      <c r="E80" s="52" t="n">
        <v>4200</v>
      </c>
      <c r="F80" s="53" t="n"/>
      <c r="G80" s="55" t="n">
        <v>1700</v>
      </c>
      <c r="H80" s="53" t="n"/>
      <c r="I80" s="40" t="n">
        <v>0.0556</v>
      </c>
      <c r="J80" s="40" t="n">
        <v>0.33</v>
      </c>
      <c r="K80" s="40" t="n">
        <v>0</v>
      </c>
      <c r="L80" s="40" t="n">
        <v>0.33</v>
      </c>
      <c r="M80" s="40" t="n">
        <v>0.08</v>
      </c>
      <c r="N80" s="41" t="n">
        <v>0</v>
      </c>
    </row>
    <row r="81">
      <c r="A81" s="50" t="n">
        <v>77</v>
      </c>
      <c r="B81" s="51" t="inlineStr">
        <is>
          <t>Tyler Conklin</t>
        </is>
      </c>
      <c r="C81" s="50" t="inlineStr">
        <is>
          <t>DET</t>
        </is>
      </c>
      <c r="D81" s="50" t="inlineStr">
        <is>
          <t>MIN</t>
        </is>
      </c>
      <c r="E81" s="52" t="n">
        <v>4300</v>
      </c>
      <c r="F81" s="53" t="n"/>
      <c r="G81" s="55" t="n">
        <v>3000</v>
      </c>
      <c r="H81" s="53" t="n"/>
      <c r="I81" s="40" t="n">
        <v>0.0323</v>
      </c>
      <c r="J81" s="40" t="n">
        <v>0.19</v>
      </c>
      <c r="K81" s="40" t="n">
        <v>0</v>
      </c>
      <c r="L81" s="40" t="n">
        <v>0.19</v>
      </c>
      <c r="M81" s="40" t="n">
        <v>0.05</v>
      </c>
      <c r="N81" s="41" t="n">
        <v>0</v>
      </c>
    </row>
    <row r="82">
      <c r="A82" s="50" t="n">
        <v>78</v>
      </c>
      <c r="B82" s="51" t="inlineStr">
        <is>
          <t>Bauer Sharp</t>
        </is>
      </c>
      <c r="C82" s="50" t="inlineStr">
        <is>
          <t>TB</t>
        </is>
      </c>
      <c r="D82" s="50" t="inlineStr">
        <is>
          <t>ATL</t>
        </is>
      </c>
      <c r="E82" s="52" t="n">
        <v>4000</v>
      </c>
      <c r="F82" s="53" t="n"/>
      <c r="G82" s="55" t="n">
        <v>1900</v>
      </c>
      <c r="H82" s="53" t="n"/>
      <c r="I82" s="40" t="n">
        <v>0.05</v>
      </c>
      <c r="J82" s="40" t="n">
        <v>0.3</v>
      </c>
      <c r="K82" s="40" t="n">
        <v>0</v>
      </c>
      <c r="L82" s="40" t="n">
        <v>0.3</v>
      </c>
      <c r="M82" s="40" t="n">
        <v>0.08</v>
      </c>
      <c r="N82" s="41" t="n">
        <v>0</v>
      </c>
    </row>
    <row r="83">
      <c r="A83" s="50" t="n">
        <v>79</v>
      </c>
      <c r="B83" s="51" t="inlineStr">
        <is>
          <t>Carter Runyon</t>
        </is>
      </c>
      <c r="C83" s="50" t="inlineStr">
        <is>
          <t>LV</t>
        </is>
      </c>
      <c r="D83" s="50" t="inlineStr">
        <is>
          <t>NYJ</t>
        </is>
      </c>
      <c r="E83" s="52" t="n">
        <v>4000</v>
      </c>
      <c r="F83" s="53" t="n"/>
      <c r="G83" s="55" t="n"/>
      <c r="H83" s="53" t="n"/>
      <c r="I83" s="40" t="n">
        <v>0.0323</v>
      </c>
      <c r="J83" s="40" t="n">
        <v>0</v>
      </c>
      <c r="K83" s="40" t="n">
        <v>0</v>
      </c>
      <c r="L83" s="40" t="n">
        <v>0</v>
      </c>
      <c r="M83" s="40" t="n">
        <v>0</v>
      </c>
      <c r="N83" s="41" t="n">
        <v>0.08</v>
      </c>
    </row>
    <row r="84">
      <c r="A84" s="50" t="n">
        <v>80</v>
      </c>
      <c r="B84" s="51" t="inlineStr">
        <is>
          <t>Quintin Morris</t>
        </is>
      </c>
      <c r="C84" s="50" t="inlineStr">
        <is>
          <t>JAC</t>
        </is>
      </c>
      <c r="D84" s="50" t="inlineStr">
        <is>
          <t>IND</t>
        </is>
      </c>
      <c r="E84" s="52" t="n">
        <v>4100</v>
      </c>
      <c r="F84" s="53" t="n"/>
      <c r="G84" s="55" t="n">
        <v>1000</v>
      </c>
      <c r="H84" s="53" t="n"/>
      <c r="I84" s="40" t="n">
        <v>0.09089999999999999</v>
      </c>
      <c r="J84" s="40" t="n">
        <v>0.55</v>
      </c>
      <c r="K84" s="40" t="n">
        <v>0</v>
      </c>
      <c r="L84" s="40" t="n">
        <v>0.55</v>
      </c>
      <c r="M84" s="40" t="n">
        <v>0.13</v>
      </c>
      <c r="N84" s="41" t="n">
        <v>0</v>
      </c>
    </row>
    <row r="85">
      <c r="A85" s="50" t="n">
        <v>81</v>
      </c>
      <c r="B85" s="51" t="inlineStr">
        <is>
          <t>Durham Smythe</t>
        </is>
      </c>
      <c r="C85" s="50" t="inlineStr">
        <is>
          <t>BAL</t>
        </is>
      </c>
      <c r="D85" s="50" t="inlineStr">
        <is>
          <t>BUF</t>
        </is>
      </c>
      <c r="E85" s="52" t="n">
        <v>4000</v>
      </c>
      <c r="F85" s="53" t="n"/>
      <c r="G85" s="55" t="n"/>
      <c r="H85" s="53" t="n"/>
      <c r="I85" s="40" t="n">
        <v>0.09089999999999999</v>
      </c>
      <c r="J85" s="40" t="n">
        <v>0</v>
      </c>
      <c r="K85" s="40" t="n">
        <v>0</v>
      </c>
      <c r="L85" s="40" t="n">
        <v>0</v>
      </c>
      <c r="M85" s="40" t="n">
        <v>0</v>
      </c>
      <c r="N85" s="41" t="n">
        <v>0.08</v>
      </c>
    </row>
    <row r="86">
      <c r="A86" s="50" t="n">
        <v>82</v>
      </c>
      <c r="B86" s="51" t="inlineStr">
        <is>
          <t>Jackson Hawes</t>
        </is>
      </c>
      <c r="C86" s="50" t="inlineStr">
        <is>
          <t>BUF</t>
        </is>
      </c>
      <c r="D86" s="50" t="inlineStr">
        <is>
          <t>BAL</t>
        </is>
      </c>
      <c r="E86" s="52" t="n">
        <v>4400</v>
      </c>
      <c r="F86" s="53" t="n"/>
      <c r="G86" s="55" t="n">
        <v>1100</v>
      </c>
      <c r="H86" s="53" t="n"/>
      <c r="I86" s="40" t="n">
        <v>0.0833</v>
      </c>
      <c r="J86" s="40" t="n">
        <v>0.5</v>
      </c>
      <c r="K86" s="40" t="n">
        <v>0</v>
      </c>
      <c r="L86" s="40" t="n">
        <v>0.5</v>
      </c>
      <c r="M86" s="40" t="n">
        <v>0.11</v>
      </c>
      <c r="N86" s="41" t="n">
        <v>0</v>
      </c>
    </row>
    <row r="87">
      <c r="A87" s="50" t="n">
        <v>83</v>
      </c>
      <c r="B87" s="51" t="inlineStr">
        <is>
          <t>Kylen Granson</t>
        </is>
      </c>
      <c r="C87" s="50" t="inlineStr">
        <is>
          <t>TEN</t>
        </is>
      </c>
      <c r="D87" s="50" t="inlineStr">
        <is>
          <t>CIN</t>
        </is>
      </c>
      <c r="E87" s="52" t="n">
        <v>4100</v>
      </c>
      <c r="F87" s="53" t="n"/>
      <c r="G87" s="55" t="n">
        <v>3400</v>
      </c>
      <c r="H87" s="53" t="n"/>
      <c r="I87" s="40" t="n">
        <v>0.0286</v>
      </c>
      <c r="J87" s="40" t="n">
        <v>0.17</v>
      </c>
      <c r="K87" s="40" t="n">
        <v>0</v>
      </c>
      <c r="L87" s="40" t="n">
        <v>0.17</v>
      </c>
      <c r="M87" s="40" t="n">
        <v>0.04</v>
      </c>
      <c r="N87" s="41" t="n">
        <v>0</v>
      </c>
    </row>
    <row r="88">
      <c r="A88" s="50" t="n">
        <v>84</v>
      </c>
      <c r="B88" s="51" t="inlineStr">
        <is>
          <t>Jack Endries</t>
        </is>
      </c>
      <c r="C88" s="50" t="inlineStr">
        <is>
          <t>CIN</t>
        </is>
      </c>
      <c r="D88" s="50" t="inlineStr">
        <is>
          <t>TEN</t>
        </is>
      </c>
      <c r="E88" s="52" t="n">
        <v>4100</v>
      </c>
      <c r="F88" s="53" t="n"/>
      <c r="G88" s="55" t="n">
        <v>1100</v>
      </c>
      <c r="H88" s="53" t="n"/>
      <c r="I88" s="40" t="n">
        <v>0.0833</v>
      </c>
      <c r="J88" s="40" t="n">
        <v>0.5</v>
      </c>
      <c r="K88" s="40" t="n">
        <v>0</v>
      </c>
      <c r="L88" s="40" t="n">
        <v>0.5</v>
      </c>
      <c r="M88" s="40" t="n">
        <v>0.12</v>
      </c>
      <c r="N88" s="41" t="n">
        <v>0</v>
      </c>
    </row>
    <row r="89">
      <c r="A89" s="50" t="n">
        <v>85</v>
      </c>
      <c r="B89" s="51" t="inlineStr">
        <is>
          <t>Patrick Herbert</t>
        </is>
      </c>
      <c r="C89" s="50" t="inlineStr">
        <is>
          <t>LAC</t>
        </is>
      </c>
      <c r="D89" s="50" t="inlineStr">
        <is>
          <t>LAR</t>
        </is>
      </c>
      <c r="E89" s="52" t="n">
        <v>4100</v>
      </c>
      <c r="F89" s="53" t="n"/>
      <c r="G89" s="55" t="n"/>
      <c r="H89" s="53" t="n"/>
      <c r="I89" s="40" t="n">
        <v>0.0345</v>
      </c>
      <c r="J89" s="40" t="n">
        <v>0</v>
      </c>
      <c r="K89" s="40" t="n">
        <v>0</v>
      </c>
      <c r="L89" s="40" t="n">
        <v>0</v>
      </c>
      <c r="M89" s="40" t="n">
        <v>0</v>
      </c>
      <c r="N89" s="41" t="n">
        <v>0.08</v>
      </c>
    </row>
    <row r="90">
      <c r="A90" s="50" t="n">
        <v>86</v>
      </c>
      <c r="B90" s="51" t="inlineStr">
        <is>
          <t>Keleki Latu</t>
        </is>
      </c>
      <c r="C90" s="50" t="inlineStr">
        <is>
          <t>BUF</t>
        </is>
      </c>
      <c r="D90" s="50" t="inlineStr">
        <is>
          <t>BAL</t>
        </is>
      </c>
      <c r="E90" s="52" t="n">
        <v>4200</v>
      </c>
      <c r="F90" s="53" t="n"/>
      <c r="G90" s="55" t="n">
        <v>1100</v>
      </c>
      <c r="H90" s="53" t="n"/>
      <c r="I90" s="40" t="n">
        <v>0.0833</v>
      </c>
      <c r="J90" s="40" t="n">
        <v>0.5</v>
      </c>
      <c r="K90" s="40" t="n">
        <v>0</v>
      </c>
      <c r="L90" s="40" t="n">
        <v>0.5</v>
      </c>
      <c r="M90" s="40" t="n">
        <v>0.12</v>
      </c>
      <c r="N90" s="41" t="n">
        <v>0</v>
      </c>
    </row>
    <row r="91">
      <c r="A91" s="50" t="n">
        <v>87</v>
      </c>
      <c r="B91" s="51" t="inlineStr">
        <is>
          <t>William Wagner</t>
        </is>
      </c>
      <c r="C91" s="50" t="inlineStr">
        <is>
          <t>CIN</t>
        </is>
      </c>
      <c r="D91" s="50" t="inlineStr">
        <is>
          <t>TEN</t>
        </is>
      </c>
      <c r="E91" s="52" t="n">
        <v>4100</v>
      </c>
      <c r="F91" s="53" t="n"/>
      <c r="G91" s="55" t="n"/>
      <c r="H91" s="53" t="n"/>
      <c r="I91" s="40" t="n">
        <v>0.0345</v>
      </c>
      <c r="J91" s="40" t="n">
        <v>0</v>
      </c>
      <c r="K91" s="40" t="n">
        <v>0</v>
      </c>
      <c r="L91" s="40" t="n">
        <v>0</v>
      </c>
      <c r="M91" s="40" t="n">
        <v>0</v>
      </c>
      <c r="N91" s="41" t="n">
        <v>0.08</v>
      </c>
    </row>
    <row r="92">
      <c r="A92" s="50" t="n">
        <v>88</v>
      </c>
      <c r="B92" s="51" t="inlineStr">
        <is>
          <t>Riley Nowakowski</t>
        </is>
      </c>
      <c r="C92" s="50" t="inlineStr">
        <is>
          <t>PIT</t>
        </is>
      </c>
      <c r="D92" s="50" t="inlineStr">
        <is>
          <t>CLE</t>
        </is>
      </c>
      <c r="E92" s="52" t="n">
        <v>4000</v>
      </c>
      <c r="F92" s="53" t="n"/>
      <c r="G92" s="55" t="n">
        <v>2400</v>
      </c>
      <c r="H92" s="53" t="n"/>
      <c r="I92" s="40" t="n">
        <v>0.04</v>
      </c>
      <c r="J92" s="40" t="n">
        <v>0.24</v>
      </c>
      <c r="K92" s="40" t="n">
        <v>0</v>
      </c>
      <c r="L92" s="40" t="n">
        <v>0.24</v>
      </c>
      <c r="M92" s="40" t="n">
        <v>0.06</v>
      </c>
      <c r="N92" s="41" t="n">
        <v>0</v>
      </c>
    </row>
    <row r="93">
      <c r="A93" s="50" t="n">
        <v>89</v>
      </c>
      <c r="B93" s="51" t="inlineStr">
        <is>
          <t>Danny Pinter</t>
        </is>
      </c>
      <c r="C93" s="50" t="inlineStr">
        <is>
          <t>BAL</t>
        </is>
      </c>
      <c r="D93" s="50" t="inlineStr">
        <is>
          <t>BUF</t>
        </is>
      </c>
      <c r="E93" s="52" t="n">
        <v>4000</v>
      </c>
      <c r="F93" s="53" t="n"/>
      <c r="G93" s="55" t="n"/>
      <c r="H93" s="53" t="n"/>
      <c r="I93" s="40" t="n">
        <v>0.0435</v>
      </c>
      <c r="J93" s="40" t="n">
        <v>0</v>
      </c>
      <c r="K93" s="40" t="n">
        <v>0</v>
      </c>
      <c r="L93" s="40" t="n">
        <v>0</v>
      </c>
      <c r="M93" s="40" t="n">
        <v>0</v>
      </c>
      <c r="N93" s="41" t="n">
        <v>0.08</v>
      </c>
    </row>
    <row r="94">
      <c r="A94" s="50" t="n">
        <v>90</v>
      </c>
      <c r="B94" s="51" t="inlineStr">
        <is>
          <t>James Winchester</t>
        </is>
      </c>
      <c r="C94" s="50" t="inlineStr">
        <is>
          <t>KC</t>
        </is>
      </c>
      <c r="D94" s="50" t="inlineStr">
        <is>
          <t>DEN</t>
        </is>
      </c>
      <c r="E94" s="52" t="n">
        <v>4000</v>
      </c>
      <c r="F94" s="53" t="n"/>
      <c r="G94" s="55" t="n"/>
      <c r="H94" s="53" t="n"/>
      <c r="I94" s="40" t="n">
        <v>0.0278</v>
      </c>
      <c r="J94" s="40" t="n">
        <v>0</v>
      </c>
      <c r="K94" s="40" t="n">
        <v>0</v>
      </c>
      <c r="L94" s="40" t="n">
        <v>0</v>
      </c>
      <c r="M94" s="40" t="n">
        <v>0</v>
      </c>
      <c r="N94" s="41" t="n">
        <v>0.08</v>
      </c>
    </row>
    <row r="95">
      <c r="A95" s="50" t="n">
        <v>91</v>
      </c>
      <c r="B95" s="51" t="inlineStr">
        <is>
          <t>Cameron Latu</t>
        </is>
      </c>
      <c r="C95" s="50" t="inlineStr">
        <is>
          <t>NE</t>
        </is>
      </c>
      <c r="D95" s="50" t="inlineStr">
        <is>
          <t>MIA</t>
        </is>
      </c>
      <c r="E95" s="52" t="n">
        <v>4000</v>
      </c>
      <c r="F95" s="53" t="n"/>
      <c r="G95" s="55" t="n">
        <v>1400</v>
      </c>
      <c r="H95" s="53" t="n"/>
      <c r="I95" s="40" t="n">
        <v>0.0667</v>
      </c>
      <c r="J95" s="40" t="n">
        <v>0.4</v>
      </c>
      <c r="K95" s="40" t="n">
        <v>0</v>
      </c>
      <c r="L95" s="40" t="n">
        <v>0.4</v>
      </c>
      <c r="M95" s="40" t="n">
        <v>0.1</v>
      </c>
      <c r="N95" s="41" t="n">
        <v>0</v>
      </c>
    </row>
    <row r="96">
      <c r="A96" s="50" t="n">
        <v>92</v>
      </c>
      <c r="B96" s="51" t="inlineStr">
        <is>
          <t>Tanner Koziol</t>
        </is>
      </c>
      <c r="C96" s="50" t="inlineStr">
        <is>
          <t>JAC</t>
        </is>
      </c>
      <c r="D96" s="50" t="inlineStr">
        <is>
          <t>IND</t>
        </is>
      </c>
      <c r="E96" s="52" t="n">
        <v>4000</v>
      </c>
      <c r="F96" s="53" t="n"/>
      <c r="G96" s="55" t="n">
        <v>1300</v>
      </c>
      <c r="H96" s="53" t="n"/>
      <c r="I96" s="40" t="n">
        <v>0.07140000000000001</v>
      </c>
      <c r="J96" s="40" t="n">
        <v>0.43</v>
      </c>
      <c r="K96" s="40" t="n">
        <v>0</v>
      </c>
      <c r="L96" s="40" t="n">
        <v>0.43</v>
      </c>
      <c r="M96" s="40" t="n">
        <v>0.11</v>
      </c>
      <c r="N96" s="41" t="n">
        <v>0</v>
      </c>
    </row>
    <row r="97">
      <c r="A97" s="50" t="n">
        <v>93</v>
      </c>
      <c r="B97" s="51" t="inlineStr">
        <is>
          <t>Tanner Arkin</t>
        </is>
      </c>
      <c r="C97" s="50" t="inlineStr">
        <is>
          <t>NE</t>
        </is>
      </c>
      <c r="D97" s="50" t="inlineStr">
        <is>
          <t>MIA</t>
        </is>
      </c>
      <c r="E97" s="52" t="n">
        <v>4000</v>
      </c>
      <c r="F97" s="53" t="n"/>
      <c r="G97" s="55" t="n">
        <v>1900</v>
      </c>
      <c r="H97" s="53" t="n"/>
      <c r="I97" s="40" t="n">
        <v>0.05</v>
      </c>
      <c r="J97" s="40" t="n">
        <v>0.3</v>
      </c>
      <c r="K97" s="40" t="n">
        <v>0</v>
      </c>
      <c r="L97" s="40" t="n">
        <v>0.3</v>
      </c>
      <c r="M97" s="40" t="n">
        <v>0.08</v>
      </c>
      <c r="N97" s="41" t="n">
        <v>0</v>
      </c>
    </row>
    <row r="98">
      <c r="A98" s="50" t="n">
        <v>94</v>
      </c>
      <c r="B98" s="51" t="inlineStr">
        <is>
          <t>Bernhard Raimann</t>
        </is>
      </c>
      <c r="C98" s="50" t="inlineStr">
        <is>
          <t>IND</t>
        </is>
      </c>
      <c r="D98" s="50" t="inlineStr">
        <is>
          <t>JAC</t>
        </is>
      </c>
      <c r="E98" s="52" t="n">
        <v>4000</v>
      </c>
      <c r="F98" s="53" t="n"/>
      <c r="G98" s="55" t="n"/>
      <c r="H98" s="53" t="n"/>
      <c r="I98" s="40" t="n">
        <v>0.0278</v>
      </c>
      <c r="J98" s="40" t="n">
        <v>0</v>
      </c>
      <c r="K98" s="40" t="n">
        <v>0</v>
      </c>
      <c r="L98" s="40" t="n">
        <v>0</v>
      </c>
      <c r="M98" s="40" t="n">
        <v>0</v>
      </c>
      <c r="N98" s="41" t="n">
        <v>0.08</v>
      </c>
    </row>
    <row r="99">
      <c r="A99" s="50" t="n">
        <v>95</v>
      </c>
      <c r="B99" s="51" t="inlineStr">
        <is>
          <t>Ko Kieft</t>
        </is>
      </c>
      <c r="C99" s="50" t="inlineStr">
        <is>
          <t>TB</t>
        </is>
      </c>
      <c r="D99" s="50" t="inlineStr">
        <is>
          <t>ATL</t>
        </is>
      </c>
      <c r="E99" s="52" t="n">
        <v>4000</v>
      </c>
      <c r="F99" s="53" t="n"/>
      <c r="G99" s="55" t="n">
        <v>1900</v>
      </c>
      <c r="H99" s="53" t="n"/>
      <c r="I99" s="40" t="n">
        <v>0.05</v>
      </c>
      <c r="J99" s="40" t="n">
        <v>0.3</v>
      </c>
      <c r="K99" s="40" t="n">
        <v>0</v>
      </c>
      <c r="L99" s="40" t="n">
        <v>0.3</v>
      </c>
      <c r="M99" s="40" t="n">
        <v>0.08</v>
      </c>
      <c r="N99" s="41" t="n">
        <v>0</v>
      </c>
    </row>
    <row r="100">
      <c r="A100" s="50" t="n">
        <v>96</v>
      </c>
      <c r="B100" s="51" t="inlineStr">
        <is>
          <t>David Martin-Robinson</t>
        </is>
      </c>
      <c r="C100" s="50" t="inlineStr">
        <is>
          <t>TEN</t>
        </is>
      </c>
      <c r="D100" s="50" t="inlineStr">
        <is>
          <t>CIN</t>
        </is>
      </c>
      <c r="E100" s="52" t="n">
        <v>4000</v>
      </c>
      <c r="F100" s="53" t="n"/>
      <c r="G100" s="55" t="n">
        <v>3400</v>
      </c>
      <c r="H100" s="53" t="n"/>
      <c r="I100" s="40" t="n">
        <v>0.0286</v>
      </c>
      <c r="J100" s="40" t="n">
        <v>0.17</v>
      </c>
      <c r="K100" s="40" t="n">
        <v>0</v>
      </c>
      <c r="L100" s="40" t="n">
        <v>0.17</v>
      </c>
      <c r="M100" s="40" t="n">
        <v>0.04</v>
      </c>
      <c r="N100" s="41" t="n">
        <v>0</v>
      </c>
    </row>
    <row r="101">
      <c r="A101" s="50" t="n">
        <v>97</v>
      </c>
      <c r="B101" s="51" t="inlineStr">
        <is>
          <t>Max Klare</t>
        </is>
      </c>
      <c r="C101" s="50" t="inlineStr">
        <is>
          <t>LAR</t>
        </is>
      </c>
      <c r="D101" s="50" t="inlineStr">
        <is>
          <t>LAC</t>
        </is>
      </c>
      <c r="E101" s="52" t="n">
        <v>4000</v>
      </c>
      <c r="F101" s="53" t="n"/>
      <c r="G101" s="55" t="n">
        <v>1400</v>
      </c>
      <c r="H101" s="53" t="n"/>
      <c r="I101" s="40" t="n">
        <v>0.0667</v>
      </c>
      <c r="J101" s="40" t="n">
        <v>0.4</v>
      </c>
      <c r="K101" s="40" t="n">
        <v>0</v>
      </c>
      <c r="L101" s="40" t="n">
        <v>0.4</v>
      </c>
      <c r="M101" s="40" t="n">
        <v>0.1</v>
      </c>
      <c r="N101" s="41" t="n">
        <v>0</v>
      </c>
    </row>
    <row r="102">
      <c r="A102" s="50" t="n">
        <v>98</v>
      </c>
      <c r="B102" s="51" t="inlineStr">
        <is>
          <t>Mitchell Fraboni</t>
        </is>
      </c>
      <c r="C102" s="50" t="inlineStr">
        <is>
          <t>DEN</t>
        </is>
      </c>
      <c r="D102" s="50" t="inlineStr">
        <is>
          <t>KC</t>
        </is>
      </c>
      <c r="E102" s="52" t="n">
        <v>4000</v>
      </c>
      <c r="F102" s="53" t="n"/>
      <c r="G102" s="53" t="n"/>
      <c r="H102" s="53" t="n"/>
      <c r="I102" s="53">
        <f>IF(OR(ISBLANK(G102), NOT(ISNUMBER(G102))), "", IF(G102 &lt; 0, -G102 / (-G102 + 100), 100 / (G102 + 100)))</f>
        <v/>
      </c>
      <c r="J102" s="40" t="n">
        <v>0</v>
      </c>
      <c r="K102" s="40" t="n">
        <v>0</v>
      </c>
      <c r="L102" s="40" t="n">
        <v>0</v>
      </c>
      <c r="M102" s="40" t="n">
        <v>0</v>
      </c>
      <c r="N102" s="41" t="n">
        <v>0.08</v>
      </c>
    </row>
    <row r="103">
      <c r="A103" s="50" t="n">
        <v>99</v>
      </c>
      <c r="B103" s="51" t="inlineStr">
        <is>
          <t>Seydou Traore</t>
        </is>
      </c>
      <c r="C103" s="50" t="inlineStr">
        <is>
          <t>MIA</t>
        </is>
      </c>
      <c r="D103" s="50" t="inlineStr">
        <is>
          <t>NE</t>
        </is>
      </c>
      <c r="E103" s="52" t="n">
        <v>4000</v>
      </c>
      <c r="F103" s="53" t="n"/>
      <c r="G103" s="55" t="n">
        <v>1900</v>
      </c>
      <c r="H103" s="53" t="n"/>
      <c r="I103" s="40" t="n">
        <v>0.05</v>
      </c>
      <c r="J103" s="40" t="n">
        <v>0.3</v>
      </c>
      <c r="K103" s="40" t="n">
        <v>0</v>
      </c>
      <c r="L103" s="40" t="n">
        <v>0.3</v>
      </c>
      <c r="M103" s="40" t="n">
        <v>0.08</v>
      </c>
      <c r="N103" s="41" t="n">
        <v>0</v>
      </c>
    </row>
    <row r="104">
      <c r="A104" s="50" t="n">
        <v>100</v>
      </c>
      <c r="B104" s="51" t="inlineStr">
        <is>
          <t>Dallen Bentley</t>
        </is>
      </c>
      <c r="C104" s="50" t="inlineStr">
        <is>
          <t>DEN</t>
        </is>
      </c>
      <c r="D104" s="50" t="inlineStr">
        <is>
          <t>KC</t>
        </is>
      </c>
      <c r="E104" s="52" t="n">
        <v>4000</v>
      </c>
      <c r="F104" s="53" t="n"/>
      <c r="G104" s="55" t="n">
        <v>1900</v>
      </c>
      <c r="H104" s="53" t="n"/>
      <c r="I104" s="40" t="n">
        <v>0.05</v>
      </c>
      <c r="J104" s="40" t="n">
        <v>0.3</v>
      </c>
      <c r="K104" s="40" t="n">
        <v>0</v>
      </c>
      <c r="L104" s="40" t="n">
        <v>0.3</v>
      </c>
      <c r="M104" s="40" t="n">
        <v>0.08</v>
      </c>
      <c r="N104" s="41" t="n">
        <v>0</v>
      </c>
    </row>
    <row r="105">
      <c r="A105" s="50" t="n">
        <v>101</v>
      </c>
      <c r="B105" s="51" t="inlineStr">
        <is>
          <t>Justin Joly</t>
        </is>
      </c>
      <c r="C105" s="50" t="inlineStr">
        <is>
          <t>MIA</t>
        </is>
      </c>
      <c r="D105" s="50" t="inlineStr">
        <is>
          <t>NE</t>
        </is>
      </c>
      <c r="E105" s="52" t="n">
        <v>4000</v>
      </c>
      <c r="F105" s="53" t="n"/>
      <c r="G105" s="55" t="n">
        <v>1900</v>
      </c>
      <c r="H105" s="53" t="n"/>
      <c r="I105" s="40" t="n">
        <v>0.05</v>
      </c>
      <c r="J105" s="40" t="n">
        <v>0.3</v>
      </c>
      <c r="K105" s="40" t="n">
        <v>0</v>
      </c>
      <c r="L105" s="40" t="n">
        <v>0.3</v>
      </c>
      <c r="M105" s="40" t="n">
        <v>0.08</v>
      </c>
      <c r="N105" s="41" t="n">
        <v>0</v>
      </c>
    </row>
    <row r="106">
      <c r="A106" s="50" t="n">
        <v>102</v>
      </c>
      <c r="B106" s="51" t="inlineStr">
        <is>
          <t>Carsen Ryan</t>
        </is>
      </c>
      <c r="C106" s="50" t="inlineStr">
        <is>
          <t>CLE</t>
        </is>
      </c>
      <c r="D106" s="50" t="inlineStr">
        <is>
          <t>PIT</t>
        </is>
      </c>
      <c r="E106" s="52" t="n">
        <v>4000</v>
      </c>
      <c r="F106" s="53" t="n"/>
      <c r="G106" s="53" t="n"/>
      <c r="H106" s="53" t="n"/>
      <c r="I106" s="53">
        <f>IF(OR(ISBLANK(G106), NOT(ISNUMBER(G106))), "", IF(G106 &lt; 0, -G106 / (-G106 + 100), 100 / (G106 + 100)))</f>
        <v/>
      </c>
      <c r="J106" s="40" t="n">
        <v>0</v>
      </c>
      <c r="K106" s="40" t="n">
        <v>0</v>
      </c>
      <c r="L106" s="40" t="n">
        <v>0</v>
      </c>
      <c r="M106" s="40" t="n">
        <v>0</v>
      </c>
      <c r="N106" s="41" t="n">
        <v>0.08</v>
      </c>
    </row>
    <row r="107">
      <c r="A107" s="50" t="n">
        <v>103</v>
      </c>
      <c r="B107" s="51" t="inlineStr">
        <is>
          <t>Jared Wiley</t>
        </is>
      </c>
      <c r="C107" s="50" t="inlineStr">
        <is>
          <t>KC</t>
        </is>
      </c>
      <c r="D107" s="50" t="inlineStr">
        <is>
          <t>DEN</t>
        </is>
      </c>
      <c r="E107" s="52" t="n">
        <v>4000</v>
      </c>
      <c r="F107" s="53" t="n"/>
      <c r="G107" s="55" t="n">
        <v>1700</v>
      </c>
      <c r="H107" s="53" t="n"/>
      <c r="I107" s="40" t="n">
        <v>0.0556</v>
      </c>
      <c r="J107" s="40" t="n">
        <v>0.33</v>
      </c>
      <c r="K107" s="40" t="n">
        <v>0</v>
      </c>
      <c r="L107" s="40" t="n">
        <v>0.33</v>
      </c>
      <c r="M107" s="40" t="n">
        <v>0.08</v>
      </c>
      <c r="N107" s="41" t="n">
        <v>0</v>
      </c>
    </row>
    <row r="108">
      <c r="A108" s="50" t="n">
        <v>104</v>
      </c>
      <c r="B108" s="51" t="inlineStr">
        <is>
          <t>Andrew DePaola</t>
        </is>
      </c>
      <c r="C108" s="50" t="inlineStr">
        <is>
          <t>MIN</t>
        </is>
      </c>
      <c r="D108" s="50" t="inlineStr">
        <is>
          <t>DET</t>
        </is>
      </c>
      <c r="E108" s="52" t="n">
        <v>4000</v>
      </c>
      <c r="F108" s="53" t="n"/>
      <c r="G108" s="53" t="n"/>
      <c r="H108" s="53" t="n"/>
      <c r="I108" s="53">
        <f>IF(OR(ISBLANK(G108), NOT(ISNUMBER(G108))), "", IF(G108 &lt; 0, -G108 / (-G108 + 100), 100 / (G108 + 100)))</f>
        <v/>
      </c>
      <c r="J108" s="40" t="n">
        <v>0</v>
      </c>
      <c r="K108" s="40" t="n">
        <v>0</v>
      </c>
      <c r="L108" s="40" t="n">
        <v>0</v>
      </c>
      <c r="M108" s="40" t="n">
        <v>0</v>
      </c>
      <c r="N108" s="41" t="n">
        <v>0.08</v>
      </c>
    </row>
    <row r="109">
      <c r="A109" s="50" t="n">
        <v>105</v>
      </c>
      <c r="B109" s="51" t="inlineStr">
        <is>
          <t>Andrew Beck</t>
        </is>
      </c>
      <c r="C109" s="50" t="inlineStr">
        <is>
          <t>NYJ</t>
        </is>
      </c>
      <c r="D109" s="50" t="inlineStr">
        <is>
          <t>LV</t>
        </is>
      </c>
      <c r="E109" s="52" t="n">
        <v>4000</v>
      </c>
      <c r="F109" s="53" t="n"/>
      <c r="G109" s="55" t="n">
        <v>2400</v>
      </c>
      <c r="H109" s="53" t="n"/>
      <c r="I109" s="40" t="n">
        <v>0.04</v>
      </c>
      <c r="J109" s="40" t="n">
        <v>0.24</v>
      </c>
      <c r="K109" s="40" t="n">
        <v>0</v>
      </c>
      <c r="L109" s="40" t="n">
        <v>0.24</v>
      </c>
      <c r="M109" s="40" t="n">
        <v>0.06</v>
      </c>
      <c r="N109" s="41" t="n">
        <v>0</v>
      </c>
    </row>
    <row r="110">
      <c r="A110" s="50" t="n">
        <v>106</v>
      </c>
      <c r="B110" s="51" t="inlineStr">
        <is>
          <t>Jameson Geers</t>
        </is>
      </c>
      <c r="C110" s="50" t="inlineStr">
        <is>
          <t>ARI</t>
        </is>
      </c>
      <c r="D110" s="50" t="inlineStr">
        <is>
          <t>DAL</t>
        </is>
      </c>
      <c r="E110" s="52" t="n">
        <v>4000</v>
      </c>
      <c r="F110" s="53" t="n"/>
      <c r="G110" s="53" t="n"/>
      <c r="H110" s="53" t="n"/>
      <c r="I110" s="53">
        <f>IF(OR(ISBLANK(G110), NOT(ISNUMBER(G110))), "", IF(G110 &lt; 0, -G110 / (-G110 + 100), 100 / (G110 + 100)))</f>
        <v/>
      </c>
      <c r="J110" s="40" t="n">
        <v>0</v>
      </c>
      <c r="K110" s="40" t="n">
        <v>0</v>
      </c>
      <c r="L110" s="40" t="n">
        <v>0</v>
      </c>
      <c r="M110" s="40" t="n">
        <v>0</v>
      </c>
      <c r="N110" s="41" t="n">
        <v>0.08</v>
      </c>
    </row>
    <row r="111">
      <c r="A111" s="50" t="n">
        <v>107</v>
      </c>
      <c r="B111" s="51" t="inlineStr">
        <is>
          <t>Daniel Brunskill</t>
        </is>
      </c>
      <c r="C111" s="50" t="inlineStr">
        <is>
          <t>LAC</t>
        </is>
      </c>
      <c r="D111" s="50" t="inlineStr">
        <is>
          <t>LAR</t>
        </is>
      </c>
      <c r="E111" s="52" t="n">
        <v>4000</v>
      </c>
      <c r="F111" s="53" t="n"/>
      <c r="G111" s="53" t="n"/>
      <c r="H111" s="53" t="n"/>
      <c r="I111" s="53">
        <f>IF(OR(ISBLANK(G111), NOT(ISNUMBER(G111))), "", IF(G111 &lt; 0, -G111 / (-G111 + 100), 100 / (G111 + 100)))</f>
        <v/>
      </c>
      <c r="J111" s="40" t="n">
        <v>0</v>
      </c>
      <c r="K111" s="40" t="n">
        <v>0</v>
      </c>
      <c r="L111" s="40" t="n">
        <v>0</v>
      </c>
      <c r="M111" s="40" t="n">
        <v>0</v>
      </c>
      <c r="N111" s="41" t="n">
        <v>0.08</v>
      </c>
    </row>
    <row r="112">
      <c r="A112" s="50" t="n">
        <v>108</v>
      </c>
      <c r="B112" s="51" t="inlineStr">
        <is>
          <t>Cole Turner</t>
        </is>
      </c>
      <c r="C112" s="50" t="inlineStr">
        <is>
          <t>MIA</t>
        </is>
      </c>
      <c r="D112" s="50" t="inlineStr">
        <is>
          <t>NE</t>
        </is>
      </c>
      <c r="E112" s="52" t="n">
        <v>4000</v>
      </c>
      <c r="F112" s="53" t="n"/>
      <c r="G112" s="53" t="n"/>
      <c r="H112" s="53" t="n"/>
      <c r="I112" s="53">
        <f>IF(OR(ISBLANK(G112), NOT(ISNUMBER(G112))), "", IF(G112 &lt; 0, -G112 / (-G112 + 100), 100 / (G112 + 100)))</f>
        <v/>
      </c>
      <c r="J112" s="40" t="n">
        <v>0</v>
      </c>
      <c r="K112" s="40" t="n">
        <v>0</v>
      </c>
      <c r="L112" s="40" t="n">
        <v>0</v>
      </c>
      <c r="M112" s="40" t="n">
        <v>0</v>
      </c>
      <c r="N112" s="41" t="n">
        <v>0.08</v>
      </c>
    </row>
    <row r="113">
      <c r="A113" s="50" t="n">
        <v>109</v>
      </c>
      <c r="B113" s="51" t="inlineStr">
        <is>
          <t>Caleb Lohner</t>
        </is>
      </c>
      <c r="C113" s="50" t="inlineStr">
        <is>
          <t>DEN</t>
        </is>
      </c>
      <c r="D113" s="50" t="inlineStr">
        <is>
          <t>KC</t>
        </is>
      </c>
      <c r="E113" s="52" t="n">
        <v>4000</v>
      </c>
      <c r="F113" s="53" t="n"/>
      <c r="G113" s="53" t="n"/>
      <c r="H113" s="53" t="n"/>
      <c r="I113" s="53">
        <f>IF(OR(ISBLANK(G113), NOT(ISNUMBER(G113))), "", IF(G113 &lt; 0, -G113 / (-G113 + 100), 100 / (G113 + 100)))</f>
        <v/>
      </c>
      <c r="J113" s="40" t="n">
        <v>0</v>
      </c>
      <c r="K113" s="40" t="n">
        <v>0</v>
      </c>
      <c r="L113" s="40" t="n">
        <v>0</v>
      </c>
      <c r="M113" s="40" t="n">
        <v>0</v>
      </c>
      <c r="N113" s="41" t="n">
        <v>0.08</v>
      </c>
    </row>
    <row r="114">
      <c r="A114" s="50" t="n">
        <v>110</v>
      </c>
      <c r="B114" s="51" t="inlineStr">
        <is>
          <t>Michael Trigg</t>
        </is>
      </c>
      <c r="C114" s="50" t="inlineStr">
        <is>
          <t>DAL</t>
        </is>
      </c>
      <c r="D114" s="50" t="inlineStr">
        <is>
          <t>ARI</t>
        </is>
      </c>
      <c r="E114" s="52" t="n">
        <v>4000</v>
      </c>
      <c r="F114" s="53" t="n"/>
      <c r="G114" s="53" t="n"/>
      <c r="H114" s="53" t="n"/>
      <c r="I114" s="53">
        <f>IF(OR(ISBLANK(G114), NOT(ISNUMBER(G114))), "", IF(G114 &lt; 0, -G114 / (-G114 + 100), 100 / (G114 + 100)))</f>
        <v/>
      </c>
      <c r="J114" s="40" t="n">
        <v>0</v>
      </c>
      <c r="K114" s="40" t="n">
        <v>0</v>
      </c>
      <c r="L114" s="40" t="n">
        <v>0</v>
      </c>
      <c r="M114" s="40" t="n">
        <v>0</v>
      </c>
      <c r="N114" s="41" t="n">
        <v>0.08</v>
      </c>
    </row>
    <row r="115">
      <c r="A115" s="50" t="n">
        <v>111</v>
      </c>
      <c r="B115" s="51" t="inlineStr">
        <is>
          <t>Josh Kattus</t>
        </is>
      </c>
      <c r="C115" s="50" t="inlineStr">
        <is>
          <t>CIN</t>
        </is>
      </c>
      <c r="D115" s="50" t="inlineStr">
        <is>
          <t>TEN</t>
        </is>
      </c>
      <c r="E115" s="52" t="n">
        <v>4000</v>
      </c>
      <c r="F115" s="53" t="n"/>
      <c r="G115" s="53" t="n"/>
      <c r="H115" s="53" t="n"/>
      <c r="I115" s="53">
        <f>IF(OR(ISBLANK(G115), NOT(ISNUMBER(G115))), "", IF(G115 &lt; 0, -G115 / (-G115 + 100), 100 / (G115 + 100)))</f>
        <v/>
      </c>
      <c r="J115" s="40" t="n">
        <v>0</v>
      </c>
      <c r="K115" s="40" t="n">
        <v>0</v>
      </c>
      <c r="L115" s="40" t="n">
        <v>0</v>
      </c>
      <c r="M115" s="40" t="n">
        <v>0</v>
      </c>
      <c r="N115" s="41" t="n">
        <v>0.08</v>
      </c>
    </row>
    <row r="116">
      <c r="A116" s="50" t="n">
        <v>112</v>
      </c>
      <c r="B116" s="51" t="inlineStr">
        <is>
          <t>Jack Velling</t>
        </is>
      </c>
      <c r="C116" s="50" t="inlineStr">
        <is>
          <t>ATL</t>
        </is>
      </c>
      <c r="D116" s="50" t="inlineStr">
        <is>
          <t>TB</t>
        </is>
      </c>
      <c r="E116" s="52" t="n">
        <v>4000</v>
      </c>
      <c r="F116" s="53" t="n"/>
      <c r="G116" s="53" t="n"/>
      <c r="H116" s="53" t="n"/>
      <c r="I116" s="53">
        <f>IF(OR(ISBLANK(G116), NOT(ISNUMBER(G116))), "", IF(G116 &lt; 0, -G116 / (-G116 + 100), 100 / (G116 + 100)))</f>
        <v/>
      </c>
      <c r="J116" s="40" t="n">
        <v>0</v>
      </c>
      <c r="K116" s="40" t="n">
        <v>0</v>
      </c>
      <c r="L116" s="40" t="n">
        <v>0</v>
      </c>
      <c r="M116" s="40" t="n">
        <v>0</v>
      </c>
      <c r="N116" s="41" t="n">
        <v>0.08</v>
      </c>
    </row>
    <row r="117">
      <c r="A117" s="50" t="n">
        <v>113</v>
      </c>
      <c r="B117" s="51" t="inlineStr">
        <is>
          <t>Jaren Kanak</t>
        </is>
      </c>
      <c r="C117" s="50" t="inlineStr">
        <is>
          <t>TEN</t>
        </is>
      </c>
      <c r="D117" s="50" t="inlineStr">
        <is>
          <t>CIN</t>
        </is>
      </c>
      <c r="E117" s="52" t="n">
        <v>4000</v>
      </c>
      <c r="F117" s="53" t="n"/>
      <c r="G117" s="53" t="n"/>
      <c r="H117" s="53" t="n"/>
      <c r="I117" s="53">
        <f>IF(OR(ISBLANK(G117), NOT(ISNUMBER(G117))), "", IF(G117 &lt; 0, -G117 / (-G117 + 100), 100 / (G117 + 100)))</f>
        <v/>
      </c>
      <c r="J117" s="40" t="n">
        <v>0</v>
      </c>
      <c r="K117" s="40" t="n">
        <v>0</v>
      </c>
      <c r="L117" s="40" t="n">
        <v>0</v>
      </c>
      <c r="M117" s="40" t="n">
        <v>0</v>
      </c>
      <c r="N117" s="41" t="n">
        <v>0.08</v>
      </c>
    </row>
    <row r="118">
      <c r="A118" s="50" t="n">
        <v>114</v>
      </c>
      <c r="B118" s="51" t="inlineStr">
        <is>
          <t>John Michael Gyllenborg</t>
        </is>
      </c>
      <c r="C118" s="50" t="inlineStr">
        <is>
          <t>KC</t>
        </is>
      </c>
      <c r="D118" s="50" t="inlineStr">
        <is>
          <t>DEN</t>
        </is>
      </c>
      <c r="E118" s="52" t="n">
        <v>4000</v>
      </c>
      <c r="F118" s="53" t="n"/>
      <c r="G118" s="53" t="n"/>
      <c r="H118" s="53" t="n"/>
      <c r="I118" s="53">
        <f>IF(OR(ISBLANK(G118), NOT(ISNUMBER(G118))), "", IF(G118 &lt; 0, -G118 / (-G118 + 100), 100 / (G118 + 100)))</f>
        <v/>
      </c>
      <c r="J118" s="40" t="n">
        <v>0</v>
      </c>
      <c r="K118" s="40" t="n">
        <v>0</v>
      </c>
      <c r="L118" s="40" t="n">
        <v>0</v>
      </c>
      <c r="M118" s="40" t="n">
        <v>0</v>
      </c>
      <c r="N118" s="41" t="n">
        <v>0.08</v>
      </c>
    </row>
    <row r="119">
      <c r="A119" s="50" t="n">
        <v>115</v>
      </c>
      <c r="B119" s="51" t="inlineStr">
        <is>
          <t>Joel Wilson</t>
        </is>
      </c>
      <c r="C119" s="50" t="inlineStr">
        <is>
          <t>TEN</t>
        </is>
      </c>
      <c r="D119" s="50" t="inlineStr">
        <is>
          <t>CIN</t>
        </is>
      </c>
      <c r="E119" s="52" t="n">
        <v>4000</v>
      </c>
      <c r="F119" s="53" t="n"/>
      <c r="G119" s="55" t="n"/>
      <c r="H119" s="53" t="n"/>
      <c r="I119" s="40" t="n">
        <v>0.0526</v>
      </c>
      <c r="J119" s="40" t="n">
        <v>0</v>
      </c>
      <c r="K119" s="40" t="n">
        <v>0</v>
      </c>
      <c r="L119" s="40" t="n">
        <v>0</v>
      </c>
      <c r="M119" s="40" t="n">
        <v>0</v>
      </c>
      <c r="N119" s="41" t="n">
        <v>0.08</v>
      </c>
    </row>
    <row r="120">
      <c r="A120" s="50" t="n">
        <v>116</v>
      </c>
      <c r="B120" s="51" t="inlineStr">
        <is>
          <t>Thomas Gordon</t>
        </is>
      </c>
      <c r="C120" s="50" t="inlineStr">
        <is>
          <t>DET</t>
        </is>
      </c>
      <c r="D120" s="50" t="inlineStr">
        <is>
          <t>MIN</t>
        </is>
      </c>
      <c r="E120" s="52" t="n">
        <v>4000</v>
      </c>
      <c r="F120" s="53" t="n"/>
      <c r="G120" s="53" t="n"/>
      <c r="H120" s="53" t="n"/>
      <c r="I120" s="53">
        <f>IF(OR(ISBLANK(G120), NOT(ISNUMBER(G120))), "", IF(G120 &lt; 0, -G120 / (-G120 + 100), 100 / (G120 + 100)))</f>
        <v/>
      </c>
      <c r="J120" s="40" t="n">
        <v>0</v>
      </c>
      <c r="K120" s="40" t="n">
        <v>0</v>
      </c>
      <c r="L120" s="40" t="n">
        <v>0</v>
      </c>
      <c r="M120" s="40" t="n">
        <v>0</v>
      </c>
      <c r="N120" s="41" t="n">
        <v>0.08</v>
      </c>
    </row>
    <row r="121">
      <c r="A121" s="50" t="n">
        <v>117</v>
      </c>
      <c r="B121" s="51" t="inlineStr">
        <is>
          <t>Princeton Fant</t>
        </is>
      </c>
      <c r="C121" s="50" t="inlineStr">
        <is>
          <t>DAL</t>
        </is>
      </c>
      <c r="D121" s="50" t="inlineStr">
        <is>
          <t>ARI</t>
        </is>
      </c>
      <c r="E121" s="52" t="n">
        <v>4000</v>
      </c>
      <c r="F121" s="53" t="n"/>
      <c r="G121" s="53" t="n"/>
      <c r="H121" s="53" t="n"/>
      <c r="I121" s="53">
        <f>IF(OR(ISBLANK(G121), NOT(ISNUMBER(G121))), "", IF(G121 &lt; 0, -G121 / (-G121 + 100), 100 / (G121 + 100)))</f>
        <v/>
      </c>
      <c r="J121" s="40" t="n">
        <v>0</v>
      </c>
      <c r="K121" s="40" t="n">
        <v>0</v>
      </c>
      <c r="L121" s="40" t="n">
        <v>0</v>
      </c>
      <c r="M121" s="40" t="n">
        <v>0</v>
      </c>
      <c r="N121" s="41" t="n">
        <v>0.08</v>
      </c>
    </row>
    <row r="122">
      <c r="A122" s="50" t="n">
        <v>118</v>
      </c>
      <c r="B122" s="51" t="inlineStr">
        <is>
          <t>Miles Kitselman</t>
        </is>
      </c>
      <c r="C122" s="50" t="inlineStr">
        <is>
          <t>DET</t>
        </is>
      </c>
      <c r="D122" s="50" t="inlineStr">
        <is>
          <t>MIN</t>
        </is>
      </c>
      <c r="E122" s="52" t="n">
        <v>4000</v>
      </c>
      <c r="F122" s="53" t="n"/>
      <c r="G122" s="53" t="n"/>
      <c r="H122" s="53" t="n"/>
      <c r="I122" s="53">
        <f>IF(OR(ISBLANK(G122), NOT(ISNUMBER(G122))), "", IF(G122 &lt; 0, -G122 / (-G122 + 100), 100 / (G122 + 100)))</f>
        <v/>
      </c>
      <c r="J122" s="40" t="n">
        <v>0</v>
      </c>
      <c r="K122" s="40" t="n">
        <v>0</v>
      </c>
      <c r="L122" s="40" t="n">
        <v>0</v>
      </c>
      <c r="M122" s="40" t="n">
        <v>0</v>
      </c>
      <c r="N122" s="41" t="n">
        <v>0.08</v>
      </c>
    </row>
    <row r="123">
      <c r="A123" s="50" t="n">
        <v>119</v>
      </c>
      <c r="B123" s="51" t="inlineStr">
        <is>
          <t>Lake McRee</t>
        </is>
      </c>
      <c r="C123" s="50" t="inlineStr">
        <is>
          <t>PIT</t>
        </is>
      </c>
      <c r="D123" s="50" t="inlineStr">
        <is>
          <t>CLE</t>
        </is>
      </c>
      <c r="E123" s="52" t="n">
        <v>4000</v>
      </c>
      <c r="F123" s="53" t="n"/>
      <c r="G123" s="55" t="n"/>
      <c r="H123" s="53" t="n"/>
      <c r="I123" s="40" t="n">
        <v>0.0323</v>
      </c>
      <c r="J123" s="40" t="n">
        <v>0</v>
      </c>
      <c r="K123" s="40" t="n">
        <v>0</v>
      </c>
      <c r="L123" s="40" t="n">
        <v>0</v>
      </c>
      <c r="M123" s="40" t="n">
        <v>0</v>
      </c>
      <c r="N123" s="41" t="n">
        <v>0.08</v>
      </c>
    </row>
    <row r="124">
      <c r="A124" s="50" t="n">
        <v>120</v>
      </c>
      <c r="B124" s="51" t="inlineStr">
        <is>
          <t>DJ Rogers</t>
        </is>
      </c>
      <c r="C124" s="50" t="inlineStr">
        <is>
          <t>DAL</t>
        </is>
      </c>
      <c r="D124" s="50" t="inlineStr">
        <is>
          <t>ARI</t>
        </is>
      </c>
      <c r="E124" s="52" t="n">
        <v>4000</v>
      </c>
      <c r="F124" s="53" t="n"/>
      <c r="G124" s="53" t="n"/>
      <c r="H124" s="53" t="n"/>
      <c r="I124" s="53">
        <f>IF(OR(ISBLANK(G124), NOT(ISNUMBER(G124))), "", IF(G124 &lt; 0, -G124 / (-G124 + 100), 100 / (G124 + 100)))</f>
        <v/>
      </c>
      <c r="J124" s="40" t="n">
        <v>0</v>
      </c>
      <c r="K124" s="40" t="n">
        <v>0</v>
      </c>
      <c r="L124" s="40" t="n">
        <v>0</v>
      </c>
      <c r="M124" s="40" t="n">
        <v>0</v>
      </c>
      <c r="N124" s="41" t="n">
        <v>0.08</v>
      </c>
    </row>
    <row r="125">
      <c r="A125" s="50" t="n">
        <v>121</v>
      </c>
      <c r="B125" s="51" t="inlineStr">
        <is>
          <t>Ty Pezza</t>
        </is>
      </c>
      <c r="C125" s="50" t="inlineStr">
        <is>
          <t>BAL</t>
        </is>
      </c>
      <c r="D125" s="50" t="inlineStr">
        <is>
          <t>BUF</t>
        </is>
      </c>
      <c r="E125" s="52" t="n">
        <v>4000</v>
      </c>
      <c r="F125" s="53" t="n"/>
      <c r="G125" s="53" t="n"/>
      <c r="H125" s="53" t="n"/>
      <c r="I125" s="53">
        <f>IF(OR(ISBLANK(G125), NOT(ISNUMBER(G125))), "", IF(G125 &lt; 0, -G125 / (-G125 + 100), 100 / (G125 + 100)))</f>
        <v/>
      </c>
      <c r="J125" s="40" t="n">
        <v>0</v>
      </c>
      <c r="K125" s="40" t="n">
        <v>0</v>
      </c>
      <c r="L125" s="40" t="n">
        <v>0</v>
      </c>
      <c r="M125" s="40" t="n">
        <v>0</v>
      </c>
      <c r="N125" s="41" t="n">
        <v>0.08</v>
      </c>
    </row>
    <row r="126">
      <c r="A126" s="50" t="n">
        <v>122</v>
      </c>
      <c r="B126" s="51" t="inlineStr">
        <is>
          <t>Thomas Odukoya</t>
        </is>
      </c>
      <c r="C126" s="50" t="inlineStr">
        <is>
          <t>KC</t>
        </is>
      </c>
      <c r="D126" s="50" t="inlineStr">
        <is>
          <t>DEN</t>
        </is>
      </c>
      <c r="E126" s="52" t="n">
        <v>4000</v>
      </c>
      <c r="F126" s="53" t="n"/>
      <c r="G126" s="53" t="n"/>
      <c r="H126" s="53" t="n"/>
      <c r="I126" s="53">
        <f>IF(OR(ISBLANK(G126), NOT(ISNUMBER(G126))), "", IF(G126 &lt; 0, -G126 / (-G126 + 100), 100 / (G126 + 100)))</f>
        <v/>
      </c>
      <c r="J126" s="40" t="n">
        <v>0</v>
      </c>
      <c r="K126" s="40" t="n">
        <v>0</v>
      </c>
      <c r="L126" s="40" t="n">
        <v>0</v>
      </c>
      <c r="M126" s="40" t="n">
        <v>0</v>
      </c>
      <c r="N126" s="41" t="n">
        <v>0.08</v>
      </c>
    </row>
    <row r="127">
      <c r="A127" s="50" t="n">
        <v>123</v>
      </c>
      <c r="B127" s="51" t="inlineStr">
        <is>
          <t>Tre Watson</t>
        </is>
      </c>
      <c r="C127" s="50" t="inlineStr">
        <is>
          <t>MIA</t>
        </is>
      </c>
      <c r="D127" s="50" t="inlineStr">
        <is>
          <t>NE</t>
        </is>
      </c>
      <c r="E127" s="52" t="n">
        <v>4000</v>
      </c>
      <c r="F127" s="53" t="n"/>
      <c r="G127" s="53" t="n"/>
      <c r="H127" s="53" t="n"/>
      <c r="I127" s="53">
        <f>IF(OR(ISBLANK(G127), NOT(ISNUMBER(G127))), "", IF(G127 &lt; 0, -G127 / (-G127 + 100), 100 / (G127 + 100)))</f>
        <v/>
      </c>
      <c r="J127" s="40" t="n">
        <v>0</v>
      </c>
      <c r="K127" s="40" t="n">
        <v>0</v>
      </c>
      <c r="L127" s="40" t="n">
        <v>0</v>
      </c>
      <c r="M127" s="40" t="n">
        <v>0</v>
      </c>
      <c r="N127" s="41" t="n">
        <v>0.08</v>
      </c>
    </row>
    <row r="128">
      <c r="A128" s="50" t="n">
        <v>124</v>
      </c>
      <c r="B128" s="51" t="inlineStr">
        <is>
          <t>Dan Villari</t>
        </is>
      </c>
      <c r="C128" s="50" t="inlineStr">
        <is>
          <t>LAR</t>
        </is>
      </c>
      <c r="D128" s="50" t="inlineStr">
        <is>
          <t>LAC</t>
        </is>
      </c>
      <c r="E128" s="52" t="n">
        <v>4000</v>
      </c>
      <c r="F128" s="53" t="n"/>
      <c r="G128" s="53" t="n"/>
      <c r="H128" s="53" t="n"/>
      <c r="I128" s="53">
        <f>IF(OR(ISBLANK(G128), NOT(ISNUMBER(G128))), "", IF(G128 &lt; 0, -G128 / (-G128 + 100), 100 / (G128 + 100)))</f>
        <v/>
      </c>
      <c r="J128" s="40" t="n">
        <v>0</v>
      </c>
      <c r="K128" s="40" t="n">
        <v>0</v>
      </c>
      <c r="L128" s="40" t="n">
        <v>0</v>
      </c>
      <c r="M128" s="40" t="n">
        <v>0</v>
      </c>
      <c r="N128" s="41" t="n">
        <v>0.08</v>
      </c>
    </row>
    <row r="129">
      <c r="A129" s="50" t="n">
        <v>125</v>
      </c>
      <c r="B129" s="51" t="inlineStr">
        <is>
          <t>Carson Towt</t>
        </is>
      </c>
      <c r="C129" s="50" t="inlineStr">
        <is>
          <t>IND</t>
        </is>
      </c>
      <c r="D129" s="50" t="inlineStr">
        <is>
          <t>JAC</t>
        </is>
      </c>
      <c r="E129" s="52" t="n">
        <v>4000</v>
      </c>
      <c r="F129" s="53" t="n"/>
      <c r="G129" s="53" t="n"/>
      <c r="H129" s="53" t="n"/>
      <c r="I129" s="53">
        <f>IF(OR(ISBLANK(G129), NOT(ISNUMBER(G129))), "", IF(G129 &lt; 0, -G129 / (-G129 + 100), 100 / (G129 + 100)))</f>
        <v/>
      </c>
      <c r="J129" s="40" t="n">
        <v>0</v>
      </c>
      <c r="K129" s="40" t="n">
        <v>0</v>
      </c>
      <c r="L129" s="40" t="n">
        <v>0</v>
      </c>
      <c r="M129" s="40" t="n">
        <v>0</v>
      </c>
      <c r="N129" s="41" t="n">
        <v>0.08</v>
      </c>
    </row>
    <row r="130">
      <c r="A130" s="50" t="n">
        <v>126</v>
      </c>
      <c r="B130" s="51" t="inlineStr">
        <is>
          <t>Jack Driscoll</t>
        </is>
      </c>
      <c r="C130" s="50" t="inlineStr">
        <is>
          <t>PIT</t>
        </is>
      </c>
      <c r="D130" s="50" t="inlineStr">
        <is>
          <t>CLE</t>
        </is>
      </c>
      <c r="E130" s="52" t="n">
        <v>4000</v>
      </c>
      <c r="F130" s="53" t="n"/>
      <c r="G130" s="53" t="n"/>
      <c r="H130" s="53" t="n"/>
      <c r="I130" s="53">
        <f>IF(OR(ISBLANK(G130), NOT(ISNUMBER(G130))), "", IF(G130 &lt; 0, -G130 / (-G130 + 100), 100 / (G130 + 100)))</f>
        <v/>
      </c>
      <c r="J130" s="40" t="n">
        <v>0</v>
      </c>
      <c r="K130" s="40" t="n">
        <v>0</v>
      </c>
      <c r="L130" s="40" t="n">
        <v>0</v>
      </c>
      <c r="M130" s="40" t="n">
        <v>0</v>
      </c>
      <c r="N130" s="41" t="n">
        <v>0.08</v>
      </c>
    </row>
    <row r="131">
      <c r="A131" s="50" t="n">
        <v>127</v>
      </c>
      <c r="B131" s="51" t="inlineStr">
        <is>
          <t>Shawn Bowman</t>
        </is>
      </c>
      <c r="C131" s="50" t="inlineStr">
        <is>
          <t>ARI</t>
        </is>
      </c>
      <c r="D131" s="50" t="inlineStr">
        <is>
          <t>DAL</t>
        </is>
      </c>
      <c r="E131" s="52" t="n">
        <v>4000</v>
      </c>
      <c r="F131" s="53" t="n"/>
      <c r="G131" s="55" t="n"/>
      <c r="H131" s="53" t="n"/>
      <c r="I131" s="40" t="n">
        <v>0.0435</v>
      </c>
      <c r="J131" s="40" t="n">
        <v>0</v>
      </c>
      <c r="K131" s="40" t="n">
        <v>0</v>
      </c>
      <c r="L131" s="40" t="n">
        <v>0</v>
      </c>
      <c r="M131" s="40" t="n">
        <v>0</v>
      </c>
      <c r="N131" s="41" t="n">
        <v>0.08</v>
      </c>
    </row>
    <row r="132">
      <c r="A132" s="50" t="n">
        <v>128</v>
      </c>
      <c r="B132" s="51" t="inlineStr">
        <is>
          <t>Nick Vannett</t>
        </is>
      </c>
      <c r="C132" s="50" t="inlineStr">
        <is>
          <t>BAL</t>
        </is>
      </c>
      <c r="D132" s="50" t="inlineStr">
        <is>
          <t>BUF</t>
        </is>
      </c>
      <c r="E132" s="52" t="n">
        <v>4000</v>
      </c>
      <c r="F132" s="53" t="n"/>
      <c r="G132" s="55" t="n">
        <v>1900</v>
      </c>
      <c r="H132" s="53" t="n"/>
      <c r="I132" s="40" t="n">
        <v>0.05</v>
      </c>
      <c r="J132" s="40" t="n">
        <v>0.3</v>
      </c>
      <c r="K132" s="40" t="n">
        <v>0</v>
      </c>
      <c r="L132" s="40" t="n">
        <v>0.3</v>
      </c>
      <c r="M132" s="40" t="n">
        <v>0.08</v>
      </c>
      <c r="N132" s="41" t="n">
        <v>0</v>
      </c>
    </row>
    <row r="133">
      <c r="A133" s="50" t="n">
        <v>129</v>
      </c>
      <c r="B133" s="51" t="inlineStr">
        <is>
          <t>Patrick Gurd</t>
        </is>
      </c>
      <c r="C133" s="50" t="inlineStr">
        <is>
          <t>LV</t>
        </is>
      </c>
      <c r="D133" s="50" t="inlineStr">
        <is>
          <t>NYJ</t>
        </is>
      </c>
      <c r="E133" s="52" t="n">
        <v>4000</v>
      </c>
      <c r="F133" s="53" t="n"/>
      <c r="G133" s="53" t="n"/>
      <c r="H133" s="53" t="n"/>
      <c r="I133" s="53">
        <f>IF(OR(ISBLANK(G133), NOT(ISNUMBER(G133))), "", IF(G133 &lt; 0, -G133 / (-G133 + 100), 100 / (G133 + 100)))</f>
        <v/>
      </c>
      <c r="J133" s="40" t="n">
        <v>0</v>
      </c>
      <c r="K133" s="40" t="n">
        <v>0</v>
      </c>
      <c r="L133" s="40" t="n">
        <v>0</v>
      </c>
      <c r="M133" s="40" t="n">
        <v>0</v>
      </c>
      <c r="N133" s="41" t="n">
        <v>0.08</v>
      </c>
    </row>
    <row r="134">
      <c r="A134" s="50" t="n">
        <v>130</v>
      </c>
      <c r="B134" s="51" t="inlineStr">
        <is>
          <t>Kenny Yeboah</t>
        </is>
      </c>
      <c r="C134" s="50" t="inlineStr">
        <is>
          <t>ARI</t>
        </is>
      </c>
      <c r="D134" s="50" t="inlineStr">
        <is>
          <t>DAL</t>
        </is>
      </c>
      <c r="E134" s="52" t="n">
        <v>4000</v>
      </c>
      <c r="F134" s="53" t="n"/>
      <c r="G134" s="53" t="n"/>
      <c r="H134" s="53" t="n"/>
      <c r="I134" s="53">
        <f>IF(OR(ISBLANK(G134), NOT(ISNUMBER(G134))), "", IF(G134 &lt; 0, -G134 / (-G134 + 100), 100 / (G134 + 100)))</f>
        <v/>
      </c>
      <c r="J134" s="40" t="n">
        <v>0</v>
      </c>
      <c r="K134" s="40" t="n">
        <v>0</v>
      </c>
      <c r="L134" s="40" t="n">
        <v>0</v>
      </c>
      <c r="M134" s="40" t="n">
        <v>0</v>
      </c>
      <c r="N134" s="41" t="n">
        <v>0.08</v>
      </c>
    </row>
    <row r="135">
      <c r="A135" s="50" t="n">
        <v>131</v>
      </c>
      <c r="B135" s="51" t="inlineStr">
        <is>
          <t>CJ Dippre</t>
        </is>
      </c>
      <c r="C135" s="50" t="inlineStr">
        <is>
          <t>TB</t>
        </is>
      </c>
      <c r="D135" s="50" t="inlineStr">
        <is>
          <t>ATL</t>
        </is>
      </c>
      <c r="E135" s="52" t="n">
        <v>4000</v>
      </c>
      <c r="F135" s="53" t="n"/>
      <c r="G135" s="55" t="n"/>
      <c r="H135" s="53" t="n"/>
      <c r="I135" s="40" t="n">
        <v>0.0323</v>
      </c>
      <c r="J135" s="40" t="n">
        <v>0</v>
      </c>
      <c r="K135" s="40" t="n">
        <v>0</v>
      </c>
      <c r="L135" s="40" t="n">
        <v>0</v>
      </c>
      <c r="M135" s="40" t="n">
        <v>0</v>
      </c>
      <c r="N135" s="41" t="n">
        <v>0.08</v>
      </c>
    </row>
    <row r="136">
      <c r="A136" s="50" t="n">
        <v>132</v>
      </c>
      <c r="B136" s="51" t="inlineStr">
        <is>
          <t>Lake McRee</t>
        </is>
      </c>
      <c r="C136" s="50" t="inlineStr">
        <is>
          <t>PIT</t>
        </is>
      </c>
      <c r="D136" s="50" t="inlineStr">
        <is>
          <t>TB</t>
        </is>
      </c>
      <c r="E136" s="52" t="n">
        <v>4000</v>
      </c>
      <c r="F136" s="53" t="n"/>
      <c r="G136" s="53" t="n"/>
      <c r="H136" s="53" t="n"/>
      <c r="I136" s="53">
        <f>IF(OR(ISBLANK(G136), NOT(ISNUMBER(G136))), "", IF(G136 &lt; 0, -G136 / (-G136 + 100), 100 / (G136 + 100)))</f>
        <v/>
      </c>
      <c r="J136" s="40" t="n">
        <v>0</v>
      </c>
      <c r="K136" s="40" t="n">
        <v>0</v>
      </c>
      <c r="L136" s="40" t="n">
        <v>0</v>
      </c>
      <c r="M136" s="40" t="n">
        <v>0</v>
      </c>
      <c r="N136" s="41" t="n">
        <v>0.08</v>
      </c>
    </row>
    <row r="137">
      <c r="A137" s="50" t="n">
        <v>133</v>
      </c>
      <c r="B137" s="51" t="inlineStr">
        <is>
          <t>DJ Rogers</t>
        </is>
      </c>
      <c r="C137" s="50" t="inlineStr">
        <is>
          <t>DAL</t>
        </is>
      </c>
      <c r="D137" s="50" t="inlineStr">
        <is>
          <t>HOU</t>
        </is>
      </c>
      <c r="E137" s="52" t="n">
        <v>4000</v>
      </c>
      <c r="F137" s="53" t="n"/>
      <c r="G137" s="53" t="n"/>
      <c r="H137" s="53" t="n"/>
      <c r="I137" s="53">
        <f>IF(OR(ISBLANK(G137), NOT(ISNUMBER(G137))), "", IF(G137 &lt; 0, -G137 / (-G137 + 100), 100 / (G137 + 100)))</f>
        <v/>
      </c>
      <c r="J137" s="40" t="n">
        <v>0</v>
      </c>
      <c r="K137" s="40" t="n">
        <v>0</v>
      </c>
      <c r="L137" s="40" t="n">
        <v>0</v>
      </c>
      <c r="M137" s="40" t="n">
        <v>0</v>
      </c>
      <c r="N137" s="41" t="n">
        <v>0.08</v>
      </c>
    </row>
    <row r="138">
      <c r="A138" s="50" t="n">
        <v>134</v>
      </c>
      <c r="B138" s="51" t="inlineStr">
        <is>
          <t>Tyler Ott</t>
        </is>
      </c>
      <c r="C138" s="50" t="inlineStr">
        <is>
          <t>WAS</t>
        </is>
      </c>
      <c r="D138" s="50" t="inlineStr">
        <is>
          <t>SEA</t>
        </is>
      </c>
      <c r="E138" s="52" t="n">
        <v>4000</v>
      </c>
      <c r="F138" s="53" t="n"/>
      <c r="G138" s="53" t="n"/>
      <c r="H138" s="53" t="n"/>
      <c r="I138" s="53">
        <f>IF(OR(ISBLANK(G138), NOT(ISNUMBER(G138))), "", IF(G138 &lt; 0, -G138 / (-G138 + 100), 100 / (G138 + 100)))</f>
        <v/>
      </c>
      <c r="J138" s="40" t="n">
        <v>0</v>
      </c>
      <c r="K138" s="40" t="n">
        <v>0</v>
      </c>
      <c r="L138" s="40" t="n">
        <v>0</v>
      </c>
      <c r="M138" s="40" t="n">
        <v>0</v>
      </c>
      <c r="N138" s="41" t="n">
        <v>0.08</v>
      </c>
    </row>
    <row r="139">
      <c r="A139" s="50" t="n">
        <v>135</v>
      </c>
      <c r="B139" s="51" t="inlineStr">
        <is>
          <t>Ty Pezza</t>
        </is>
      </c>
      <c r="C139" s="50" t="inlineStr">
        <is>
          <t>BAL</t>
        </is>
      </c>
      <c r="D139" s="50" t="inlineStr">
        <is>
          <t>CLE</t>
        </is>
      </c>
      <c r="E139" s="52" t="n">
        <v>4000</v>
      </c>
      <c r="F139" s="53" t="n"/>
      <c r="G139" s="53" t="n"/>
      <c r="H139" s="53" t="n"/>
      <c r="I139" s="53">
        <f>IF(OR(ISBLANK(G139), NOT(ISNUMBER(G139))), "", IF(G139 &lt; 0, -G139 / (-G139 + 100), 100 / (G139 + 100)))</f>
        <v/>
      </c>
      <c r="J139" s="40" t="n">
        <v>0</v>
      </c>
      <c r="K139" s="40" t="n">
        <v>0</v>
      </c>
      <c r="L139" s="40" t="n">
        <v>0</v>
      </c>
      <c r="M139" s="40" t="n">
        <v>0</v>
      </c>
      <c r="N139" s="41" t="n">
        <v>0.08</v>
      </c>
    </row>
    <row r="140">
      <c r="A140" s="50" t="n">
        <v>136</v>
      </c>
      <c r="B140" s="51" t="inlineStr">
        <is>
          <t>Justin Joly</t>
        </is>
      </c>
      <c r="C140" s="50" t="inlineStr">
        <is>
          <t>MIA</t>
        </is>
      </c>
      <c r="D140" s="50" t="inlineStr">
        <is>
          <t>MIN</t>
        </is>
      </c>
      <c r="E140" s="52" t="n">
        <v>4000</v>
      </c>
      <c r="F140" s="53" t="n"/>
      <c r="G140" s="55" t="n">
        <v>1900</v>
      </c>
      <c r="H140" s="53" t="n"/>
      <c r="I140" s="40" t="n">
        <v>0.05</v>
      </c>
      <c r="J140" s="40" t="n">
        <v>0.3</v>
      </c>
      <c r="K140" s="40" t="n">
        <v>0</v>
      </c>
      <c r="L140" s="40" t="n">
        <v>0.3</v>
      </c>
      <c r="M140" s="40" t="n">
        <v>0.08</v>
      </c>
      <c r="N140" s="41" t="n">
        <v>0</v>
      </c>
    </row>
    <row r="141">
      <c r="A141" s="50" t="n">
        <v>137</v>
      </c>
      <c r="B141" s="51" t="inlineStr">
        <is>
          <t>Chris Myarick</t>
        </is>
      </c>
      <c r="C141" s="50" t="inlineStr">
        <is>
          <t>LV</t>
        </is>
      </c>
      <c r="D141" s="50" t="inlineStr">
        <is>
          <t>BUF</t>
        </is>
      </c>
      <c r="E141" s="52" t="n">
        <v>4000</v>
      </c>
      <c r="F141" s="53" t="n"/>
      <c r="G141" s="53" t="n"/>
      <c r="H141" s="53" t="n"/>
      <c r="I141" s="53">
        <f>IF(OR(ISBLANK(G141), NOT(ISNUMBER(G141))), "", IF(G141 &lt; 0, -G141 / (-G141 + 100), 100 / (G141 + 100)))</f>
        <v/>
      </c>
      <c r="J141" s="40" t="n">
        <v>0</v>
      </c>
      <c r="K141" s="40" t="n">
        <v>0</v>
      </c>
      <c r="L141" s="40" t="n">
        <v>0</v>
      </c>
      <c r="M141" s="40" t="n">
        <v>0</v>
      </c>
      <c r="N141" s="41" t="n">
        <v>0.08</v>
      </c>
    </row>
    <row r="142">
      <c r="A142" s="50" t="n">
        <v>138</v>
      </c>
      <c r="B142" s="51" t="inlineStr">
        <is>
          <t>Thomas Odukoya</t>
        </is>
      </c>
      <c r="C142" s="50" t="inlineStr">
        <is>
          <t>KC</t>
        </is>
      </c>
      <c r="D142" s="50" t="inlineStr">
        <is>
          <t>LAC</t>
        </is>
      </c>
      <c r="E142" s="52" t="n">
        <v>4000</v>
      </c>
      <c r="F142" s="53" t="n"/>
      <c r="G142" s="53" t="n"/>
      <c r="H142" s="53" t="n"/>
      <c r="I142" s="53">
        <f>IF(OR(ISBLANK(G142), NOT(ISNUMBER(G142))), "", IF(G142 &lt; 0, -G142 / (-G142 + 100), 100 / (G142 + 100)))</f>
        <v/>
      </c>
      <c r="J142" s="40" t="n">
        <v>0</v>
      </c>
      <c r="K142" s="40" t="n">
        <v>0</v>
      </c>
      <c r="L142" s="40" t="n">
        <v>0</v>
      </c>
      <c r="M142" s="40" t="n">
        <v>0</v>
      </c>
      <c r="N142" s="41" t="n">
        <v>0.08</v>
      </c>
    </row>
    <row r="143">
      <c r="A143" s="50" t="n">
        <v>139</v>
      </c>
      <c r="B143" s="51" t="inlineStr">
        <is>
          <t>Messiah Swinson</t>
        </is>
      </c>
      <c r="C143" s="50" t="inlineStr">
        <is>
          <t>CLE</t>
        </is>
      </c>
      <c r="D143" s="50" t="inlineStr">
        <is>
          <t>CAR</t>
        </is>
      </c>
      <c r="E143" s="52" t="n">
        <v>4000</v>
      </c>
      <c r="F143" s="53" t="n"/>
      <c r="G143" s="53" t="n"/>
      <c r="H143" s="53" t="n"/>
      <c r="I143" s="53">
        <f>IF(OR(ISBLANK(G143), NOT(ISNUMBER(G143))), "", IF(G143 &lt; 0, -G143 / (-G143 + 100), 100 / (G143 + 100)))</f>
        <v/>
      </c>
      <c r="J143" s="40" t="n">
        <v>0</v>
      </c>
      <c r="K143" s="40" t="n">
        <v>0</v>
      </c>
      <c r="L143" s="40" t="n">
        <v>0</v>
      </c>
      <c r="M143" s="40" t="n">
        <v>0</v>
      </c>
      <c r="N143" s="41" t="n">
        <v>0.08</v>
      </c>
    </row>
    <row r="144">
      <c r="A144" s="50" t="n">
        <v>140</v>
      </c>
      <c r="B144" s="51" t="inlineStr">
        <is>
          <t>Tre Watson</t>
        </is>
      </c>
      <c r="C144" s="50" t="inlineStr">
        <is>
          <t>MIA</t>
        </is>
      </c>
      <c r="D144" s="50" t="inlineStr">
        <is>
          <t>MIN</t>
        </is>
      </c>
      <c r="E144" s="52" t="n">
        <v>4000</v>
      </c>
      <c r="F144" s="53" t="n"/>
      <c r="G144" s="53" t="n"/>
      <c r="H144" s="53" t="n"/>
      <c r="I144" s="53">
        <f>IF(OR(ISBLANK(G144), NOT(ISNUMBER(G144))), "", IF(G144 &lt; 0, -G144 / (-G144 + 100), 100 / (G144 + 100)))</f>
        <v/>
      </c>
      <c r="J144" s="40" t="n">
        <v>0</v>
      </c>
      <c r="K144" s="40" t="n">
        <v>0</v>
      </c>
      <c r="L144" s="40" t="n">
        <v>0</v>
      </c>
      <c r="M144" s="40" t="n">
        <v>0</v>
      </c>
      <c r="N144" s="41" t="n">
        <v>0.08</v>
      </c>
    </row>
    <row r="145">
      <c r="A145" s="50" t="n">
        <v>141</v>
      </c>
      <c r="B145" s="51" t="inlineStr">
        <is>
          <t>Kenny Fletcher Jr.</t>
        </is>
      </c>
      <c r="C145" s="50" t="inlineStr">
        <is>
          <t>IND</t>
        </is>
      </c>
      <c r="D145" s="50" t="inlineStr">
        <is>
          <t>HOU</t>
        </is>
      </c>
      <c r="E145" s="52" t="n">
        <v>4000</v>
      </c>
      <c r="F145" s="53" t="n"/>
      <c r="G145" s="53" t="n"/>
      <c r="H145" s="53" t="n"/>
      <c r="I145" s="53">
        <f>IF(OR(ISBLANK(G145), NOT(ISNUMBER(G145))), "", IF(G145 &lt; 0, -G145 / (-G145 + 100), 100 / (G145 + 100)))</f>
        <v/>
      </c>
      <c r="J145" s="40" t="n">
        <v>0</v>
      </c>
      <c r="K145" s="40" t="n">
        <v>0</v>
      </c>
      <c r="L145" s="40" t="n">
        <v>0</v>
      </c>
      <c r="M145" s="40" t="n">
        <v>0</v>
      </c>
      <c r="N145" s="41" t="n">
        <v>0.08</v>
      </c>
    </row>
    <row r="146">
      <c r="A146" s="50" t="n">
        <v>142</v>
      </c>
      <c r="B146" s="51" t="inlineStr">
        <is>
          <t>Carson Towt</t>
        </is>
      </c>
      <c r="C146" s="50" t="inlineStr">
        <is>
          <t>IND</t>
        </is>
      </c>
      <c r="D146" s="50" t="inlineStr">
        <is>
          <t>TEN</t>
        </is>
      </c>
      <c r="E146" s="52" t="n">
        <v>4000</v>
      </c>
      <c r="F146" s="53" t="n"/>
      <c r="G146" s="53" t="n"/>
      <c r="H146" s="53" t="n"/>
      <c r="I146" s="53">
        <f>IF(OR(ISBLANK(G146), NOT(ISNUMBER(G146))), "", IF(G146 &lt; 0, -G146 / (-G146 + 100), 100 / (G146 + 100)))</f>
        <v/>
      </c>
      <c r="J146" s="40" t="n">
        <v>0</v>
      </c>
      <c r="K146" s="40" t="n">
        <v>0</v>
      </c>
      <c r="L146" s="40" t="n">
        <v>0</v>
      </c>
      <c r="M146" s="40" t="n">
        <v>0</v>
      </c>
      <c r="N146" s="41" t="n">
        <v>0.08</v>
      </c>
    </row>
    <row r="147">
      <c r="A147" s="50" t="n">
        <v>143</v>
      </c>
      <c r="B147" s="51" t="inlineStr">
        <is>
          <t>Gavin Bartholomew</t>
        </is>
      </c>
      <c r="C147" s="50" t="inlineStr">
        <is>
          <t>MIN</t>
        </is>
      </c>
      <c r="D147" s="50" t="inlineStr">
        <is>
          <t>MIA</t>
        </is>
      </c>
      <c r="E147" s="52" t="n">
        <v>4000</v>
      </c>
      <c r="F147" s="53" t="n"/>
      <c r="G147" s="55" t="n">
        <v>1750</v>
      </c>
      <c r="H147" s="53" t="n"/>
      <c r="I147" s="40" t="n">
        <v>0.0541</v>
      </c>
      <c r="J147" s="40" t="n">
        <v>0.32</v>
      </c>
      <c r="K147" s="40" t="n">
        <v>2.2</v>
      </c>
      <c r="L147" s="40" t="n">
        <v>1.07</v>
      </c>
      <c r="M147" s="40" t="n">
        <v>0.27</v>
      </c>
      <c r="N147" s="41" t="n">
        <v>0</v>
      </c>
    </row>
    <row r="148">
      <c r="A148" s="50" t="n">
        <v>144</v>
      </c>
      <c r="B148" s="51" t="inlineStr">
        <is>
          <t>Jack Driscoll</t>
        </is>
      </c>
      <c r="C148" s="50" t="inlineStr">
        <is>
          <t>PIT</t>
        </is>
      </c>
      <c r="D148" s="50" t="inlineStr">
        <is>
          <t>TB</t>
        </is>
      </c>
      <c r="E148" s="52" t="n">
        <v>4000</v>
      </c>
      <c r="F148" s="53" t="n"/>
      <c r="G148" s="53" t="n"/>
      <c r="H148" s="53" t="n"/>
      <c r="I148" s="53">
        <f>IF(OR(ISBLANK(G148), NOT(ISNUMBER(G148))), "", IF(G148 &lt; 0, -G148 / (-G148 + 100), 100 / (G148 + 100)))</f>
        <v/>
      </c>
      <c r="J148" s="40" t="n">
        <v>0</v>
      </c>
      <c r="K148" s="40" t="n">
        <v>0</v>
      </c>
      <c r="L148" s="40" t="n">
        <v>0</v>
      </c>
      <c r="M148" s="40" t="n">
        <v>0</v>
      </c>
      <c r="N148" s="41" t="n">
        <v>0.08</v>
      </c>
    </row>
    <row r="149">
      <c r="A149" s="50" t="n">
        <v>145</v>
      </c>
      <c r="B149" s="51" t="inlineStr">
        <is>
          <t>Shawn Bowman</t>
        </is>
      </c>
      <c r="C149" s="50" t="inlineStr">
        <is>
          <t>ARI</t>
        </is>
      </c>
      <c r="D149" s="50" t="inlineStr">
        <is>
          <t>LAR</t>
        </is>
      </c>
      <c r="E149" s="52" t="n">
        <v>4000</v>
      </c>
      <c r="F149" s="53" t="n"/>
      <c r="G149" s="55" t="n"/>
      <c r="H149" s="53" t="n"/>
      <c r="I149" s="40" t="n">
        <v>0.0526</v>
      </c>
      <c r="J149" s="40" t="n">
        <v>0</v>
      </c>
      <c r="K149" s="40" t="n">
        <v>0</v>
      </c>
      <c r="L149" s="40" t="n">
        <v>0</v>
      </c>
      <c r="M149" s="40" t="n">
        <v>0</v>
      </c>
      <c r="N149" s="41" t="n">
        <v>0.08</v>
      </c>
    </row>
    <row r="150">
      <c r="A150" s="50" t="n">
        <v>146</v>
      </c>
      <c r="B150" s="51" t="inlineStr">
        <is>
          <t>Brevin Jordan</t>
        </is>
      </c>
      <c r="C150" s="50" t="inlineStr">
        <is>
          <t>HOU</t>
        </is>
      </c>
      <c r="D150" s="50" t="inlineStr">
        <is>
          <t>DAL</t>
        </is>
      </c>
      <c r="E150" s="52" t="n">
        <v>4000</v>
      </c>
      <c r="F150" s="53" t="n"/>
      <c r="G150" s="55" t="n"/>
      <c r="H150" s="53" t="n"/>
      <c r="I150" s="40" t="n">
        <v>0.0435</v>
      </c>
      <c r="J150" s="40" t="n">
        <v>0</v>
      </c>
      <c r="K150" s="40" t="n">
        <v>0</v>
      </c>
      <c r="L150" s="40" t="n">
        <v>0</v>
      </c>
      <c r="M150" s="40" t="n">
        <v>0</v>
      </c>
      <c r="N150" s="41" t="n">
        <v>0.08</v>
      </c>
    </row>
    <row r="151">
      <c r="A151" s="50" t="n">
        <v>147</v>
      </c>
      <c r="B151" s="51" t="inlineStr">
        <is>
          <t>Nick Vannett</t>
        </is>
      </c>
      <c r="C151" s="50" t="inlineStr">
        <is>
          <t>BAL</t>
        </is>
      </c>
      <c r="D151" s="50" t="inlineStr">
        <is>
          <t>CLE</t>
        </is>
      </c>
      <c r="E151" s="52" t="n">
        <v>4200</v>
      </c>
      <c r="F151" s="53" t="n"/>
      <c r="G151" s="55" t="n">
        <v>1900</v>
      </c>
      <c r="H151" s="53" t="n"/>
      <c r="I151" s="40" t="n">
        <v>0.05</v>
      </c>
      <c r="J151" s="40" t="n">
        <v>0.3</v>
      </c>
      <c r="K151" s="40" t="n">
        <v>0</v>
      </c>
      <c r="L151" s="40" t="n">
        <v>0.3</v>
      </c>
      <c r="M151" s="40" t="n">
        <v>0.07000000000000001</v>
      </c>
      <c r="N151" s="41" t="n">
        <v>0</v>
      </c>
    </row>
    <row r="152">
      <c r="A152" s="50" t="n">
        <v>148</v>
      </c>
      <c r="B152" s="51" t="inlineStr">
        <is>
          <t>William Wagner</t>
        </is>
      </c>
      <c r="C152" s="50" t="inlineStr">
        <is>
          <t>CIN</t>
        </is>
      </c>
      <c r="D152" s="50" t="inlineStr">
        <is>
          <t>JAC</t>
        </is>
      </c>
      <c r="E152" s="52" t="n">
        <v>4000</v>
      </c>
      <c r="F152" s="53" t="n"/>
      <c r="G152" s="53" t="n"/>
      <c r="H152" s="53" t="n"/>
      <c r="I152" s="53">
        <f>IF(OR(ISBLANK(G152), NOT(ISNUMBER(G152))), "", IF(G152 &lt; 0, -G152 / (-G152 + 100), 100 / (G152 + 100)))</f>
        <v/>
      </c>
      <c r="J152" s="40" t="n">
        <v>0</v>
      </c>
      <c r="K152" s="40" t="n">
        <v>0</v>
      </c>
      <c r="L152" s="40" t="n">
        <v>0</v>
      </c>
      <c r="M152" s="40" t="n">
        <v>0</v>
      </c>
      <c r="N152" s="41" t="n">
        <v>0.08</v>
      </c>
    </row>
    <row r="153">
      <c r="A153" s="50" t="n">
        <v>149</v>
      </c>
      <c r="B153" s="51" t="inlineStr">
        <is>
          <t>Patrick Gurd</t>
        </is>
      </c>
      <c r="C153" s="50" t="inlineStr">
        <is>
          <t>LV</t>
        </is>
      </c>
      <c r="D153" s="50" t="inlineStr">
        <is>
          <t>BUF</t>
        </is>
      </c>
      <c r="E153" s="52" t="n">
        <v>4000</v>
      </c>
      <c r="F153" s="53" t="n"/>
      <c r="G153" s="53" t="n"/>
      <c r="H153" s="53" t="n"/>
      <c r="I153" s="53">
        <f>IF(OR(ISBLANK(G153), NOT(ISNUMBER(G153))), "", IF(G153 &lt; 0, -G153 / (-G153 + 100), 100 / (G153 + 100)))</f>
        <v/>
      </c>
      <c r="J153" s="40" t="n">
        <v>0</v>
      </c>
      <c r="K153" s="40" t="n">
        <v>0</v>
      </c>
      <c r="L153" s="40" t="n">
        <v>0</v>
      </c>
      <c r="M153" s="40" t="n">
        <v>0</v>
      </c>
      <c r="N153" s="41" t="n">
        <v>0.08</v>
      </c>
    </row>
    <row r="154">
      <c r="A154" s="50" t="n">
        <v>150</v>
      </c>
      <c r="B154" s="51" t="inlineStr">
        <is>
          <t>CJ Dippre</t>
        </is>
      </c>
      <c r="C154" s="50" t="inlineStr">
        <is>
          <t>TB</t>
        </is>
      </c>
      <c r="D154" s="50" t="inlineStr">
        <is>
          <t>PIT</t>
        </is>
      </c>
      <c r="E154" s="52" t="n">
        <v>4000</v>
      </c>
      <c r="F154" s="53" t="n"/>
      <c r="G154" s="53" t="n"/>
      <c r="H154" s="53" t="n"/>
      <c r="I154" s="53">
        <f>IF(OR(ISBLANK(G154), NOT(ISNUMBER(G154))), "", IF(G154 &lt; 0, -G154 / (-G154 + 100), 100 / (G154 + 100)))</f>
        <v/>
      </c>
      <c r="J154" s="40" t="n">
        <v>0</v>
      </c>
      <c r="K154" s="40" t="n">
        <v>0</v>
      </c>
      <c r="L154" s="40" t="n">
        <v>0</v>
      </c>
      <c r="M154" s="40" t="n">
        <v>0</v>
      </c>
      <c r="N154" s="41" t="n">
        <v>0.08</v>
      </c>
    </row>
    <row r="155">
      <c r="A155" s="50" t="n">
        <v>151</v>
      </c>
      <c r="B155" s="51" t="inlineStr">
        <is>
          <t>Khalil Dinkins</t>
        </is>
      </c>
      <c r="C155" s="50" t="inlineStr">
        <is>
          <t>SF</t>
        </is>
      </c>
      <c r="D155" s="50" t="inlineStr">
        <is>
          <t>DEN</t>
        </is>
      </c>
      <c r="E155" s="52" t="n">
        <v>4000</v>
      </c>
      <c r="F155" s="53" t="n"/>
      <c r="G155" s="53" t="n"/>
      <c r="H155" s="53" t="n"/>
      <c r="I155" s="53">
        <f>IF(OR(ISBLANK(G155), NOT(ISNUMBER(G155))), "", IF(G155 &lt; 0, -G155 / (-G155 + 100), 100 / (G155 + 100)))</f>
        <v/>
      </c>
      <c r="J155" s="40" t="n">
        <v>0</v>
      </c>
      <c r="K155" s="40" t="n">
        <v>0</v>
      </c>
      <c r="L155" s="40" t="n">
        <v>0</v>
      </c>
      <c r="M155" s="40" t="n">
        <v>0</v>
      </c>
      <c r="N155" s="41" t="n">
        <v>0.08</v>
      </c>
    </row>
    <row r="156">
      <c r="A156" s="50" t="n">
        <v>152</v>
      </c>
      <c r="B156" s="51" t="inlineStr">
        <is>
          <t>James Mitchell</t>
        </is>
      </c>
      <c r="C156" s="50" t="inlineStr">
        <is>
          <t>DAL</t>
        </is>
      </c>
      <c r="D156" s="50" t="inlineStr">
        <is>
          <t>HOU</t>
        </is>
      </c>
      <c r="E156" s="52" t="n">
        <v>4000</v>
      </c>
      <c r="F156" s="53" t="n"/>
      <c r="G156" s="53" t="n"/>
      <c r="H156" s="53" t="n"/>
      <c r="I156" s="53">
        <f>IF(OR(ISBLANK(G156), NOT(ISNUMBER(G156))), "", IF(G156 &lt; 0, -G156 / (-G156 + 100), 100 / (G156 + 100)))</f>
        <v/>
      </c>
      <c r="J156" s="40" t="n">
        <v>0</v>
      </c>
      <c r="K156" s="40" t="n">
        <v>0</v>
      </c>
      <c r="L156" s="40" t="n">
        <v>0</v>
      </c>
      <c r="M156" s="40" t="n">
        <v>0</v>
      </c>
      <c r="N156" s="41" t="n">
        <v>0.08</v>
      </c>
    </row>
    <row r="157">
      <c r="A157" s="50" t="n">
        <v>153</v>
      </c>
      <c r="B157" s="51" t="inlineStr">
        <is>
          <t>Khalil Dinkins</t>
        </is>
      </c>
      <c r="C157" s="50" t="inlineStr">
        <is>
          <t>SF</t>
        </is>
      </c>
      <c r="D157" s="50" t="inlineStr">
        <is>
          <t>DEN</t>
        </is>
      </c>
      <c r="E157" s="52" t="n">
        <v>4000</v>
      </c>
      <c r="F157" s="53" t="n"/>
      <c r="G157" s="53" t="n"/>
      <c r="H157" s="53" t="n"/>
      <c r="I157" s="53">
        <f>IF(OR(ISBLANK(G157), NOT(ISNUMBER(G157))), "", IF(G157 &lt; 0, -G157 / (-G157 + 100), 100 / (G157 + 100)))</f>
        <v/>
      </c>
      <c r="J157" s="40" t="n">
        <v>0</v>
      </c>
      <c r="K157" s="40" t="n">
        <v>0</v>
      </c>
      <c r="L157" s="40" t="n">
        <v>0</v>
      </c>
      <c r="M157" s="40" t="n">
        <v>0</v>
      </c>
      <c r="N157" s="41" t="n">
        <v>0.08</v>
      </c>
    </row>
    <row r="158">
      <c r="A158" s="50" t="n">
        <v>154</v>
      </c>
      <c r="B158" s="51" t="inlineStr">
        <is>
          <t>Nick Muse</t>
        </is>
      </c>
      <c r="C158" s="50" t="inlineStr">
        <is>
          <t>ATL</t>
        </is>
      </c>
      <c r="D158" s="50" t="inlineStr">
        <is>
          <t>CHI</t>
        </is>
      </c>
      <c r="E158" s="52" t="n">
        <v>4000</v>
      </c>
      <c r="F158" s="53" t="n"/>
      <c r="G158" s="55" t="n">
        <v>2400</v>
      </c>
      <c r="H158" s="53" t="n"/>
      <c r="I158" s="40" t="n">
        <v>0.04</v>
      </c>
      <c r="J158" s="40" t="n">
        <v>0.24</v>
      </c>
      <c r="K158" s="40" t="n">
        <v>0</v>
      </c>
      <c r="L158" s="40" t="n">
        <v>0.24</v>
      </c>
      <c r="M158" s="40" t="n">
        <v>0.06</v>
      </c>
      <c r="N158" s="41" t="n">
        <v>0</v>
      </c>
    </row>
  </sheetData>
  <autoFilter ref="A4:O135">
    <sortState ref="A5:K50">
      <sortCondition descending="1" ref="K4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D5" sqref="D5:F28"/>
    </sheetView>
  </sheetViews>
  <sheetFormatPr baseColWidth="8" defaultRowHeight="14.4"/>
  <cols>
    <col width="12" customWidth="1" style="29" min="1" max="1"/>
    <col width="25" customWidth="1" style="29" min="2" max="2"/>
    <col width="12" customWidth="1" style="29" min="3" max="5"/>
    <col width="23" customWidth="1" style="29" min="6" max="6"/>
    <col width="30" customWidth="1" style="29" min="7" max="7"/>
    <col width="19" customWidth="1" style="29" min="8" max="8"/>
    <col width="13" customWidth="1" style="29" min="10" max="10"/>
    <col width="13" customWidth="1" style="29" min="11" max="11"/>
    <col width="16" customWidth="1" style="29" min="12" max="12"/>
    <col width="10" customWidth="1" style="29" min="13" max="13"/>
    <col width="14" customWidth="1" style="29" min="14" max="14"/>
  </cols>
  <sheetData>
    <row r="1" ht="21" customHeight="1" s="29">
      <c r="A1" s="1" t="inlineStr">
        <is>
          <t>Defense &amp; Special Teams (D/ST) Model</t>
        </is>
      </c>
    </row>
    <row r="2">
      <c r="A2" s="2" t="n"/>
    </row>
    <row r="3"/>
    <row r="4" ht="28.8" customHeight="1" s="29">
      <c r="A4" s="9" t="inlineStr">
        <is>
          <t>Rank</t>
        </is>
      </c>
      <c r="B4" s="8" t="inlineStr">
        <is>
          <t>Team Defense</t>
        </is>
      </c>
      <c r="C4" s="9" t="inlineStr">
        <is>
          <t>Team</t>
        </is>
      </c>
      <c r="D4" s="9" t="inlineStr">
        <is>
          <t>Opponent</t>
        </is>
      </c>
      <c r="E4" s="9" t="inlineStr">
        <is>
          <t>Salary</t>
        </is>
      </c>
      <c r="F4" s="32" t="inlineStr">
        <is>
          <t>Opponent Total</t>
        </is>
      </c>
      <c r="G4" s="32" t="inlineStr">
        <is>
          <t>Projected Score</t>
        </is>
      </c>
      <c r="H4" s="32" t="inlineStr">
        <is>
          <t>Value</t>
        </is>
      </c>
      <c r="I4" s="32" t="inlineStr">
        <is>
          <t>Projected Ownership</t>
        </is>
      </c>
      <c r="J4" s="32" t="inlineStr">
        <is>
          <t>Value</t>
        </is>
      </c>
      <c r="K4" s="32" t="inlineStr">
        <is>
          <t>Projected Ownership</t>
        </is>
      </c>
    </row>
    <row r="5">
      <c r="A5" s="42" t="n">
        <v>1</v>
      </c>
      <c r="B5" s="43" t="inlineStr">
        <is>
          <t>Vikings</t>
        </is>
      </c>
      <c r="C5" s="43" t="inlineStr">
        <is>
          <t>MIN</t>
        </is>
      </c>
      <c r="D5" s="42" t="inlineStr">
        <is>
          <t>DET</t>
        </is>
      </c>
      <c r="E5" s="44" t="n">
        <v>4300</v>
      </c>
      <c r="F5" s="38" t="n">
        <v>23</v>
      </c>
      <c r="G5" s="45" t="n">
        <v>7.2</v>
      </c>
      <c r="H5" s="45" t="n">
        <v>1.67</v>
      </c>
      <c r="I5" s="41" t="n">
        <v>0.0116</v>
      </c>
      <c r="J5" s="40" t="n">
        <v>1.86</v>
      </c>
      <c r="K5" s="40" t="n">
        <v>0.019</v>
      </c>
    </row>
    <row r="6">
      <c r="A6" s="42" t="n">
        <v>2</v>
      </c>
      <c r="B6" s="43" t="inlineStr">
        <is>
          <t>Bengals</t>
        </is>
      </c>
      <c r="C6" s="43" t="inlineStr">
        <is>
          <t>CIN</t>
        </is>
      </c>
      <c r="D6" s="42" t="inlineStr">
        <is>
          <t>TEN</t>
        </is>
      </c>
      <c r="E6" s="44" t="n">
        <v>4800</v>
      </c>
      <c r="F6" s="38" t="n">
        <v>23.25</v>
      </c>
      <c r="G6" s="45" t="n">
        <v>7.11</v>
      </c>
      <c r="H6" s="45" t="n">
        <v>1.48</v>
      </c>
      <c r="I6" s="41" t="n">
        <v>0.009599999999999999</v>
      </c>
      <c r="J6" s="40" t="n">
        <v>1.47</v>
      </c>
      <c r="K6" s="40" t="n">
        <v>0.014</v>
      </c>
    </row>
    <row r="7">
      <c r="A7" s="35" t="n">
        <v>3</v>
      </c>
      <c r="B7" s="36" t="inlineStr">
        <is>
          <t>Buccaneers</t>
        </is>
      </c>
      <c r="C7" s="36" t="inlineStr">
        <is>
          <t>TB</t>
        </is>
      </c>
      <c r="D7" s="35" t="inlineStr">
        <is>
          <t>ATL</t>
        </is>
      </c>
      <c r="E7" s="37" t="n">
        <v>3900</v>
      </c>
      <c r="F7" s="38" t="n">
        <v>23</v>
      </c>
      <c r="G7" s="39" t="n">
        <v>7.2</v>
      </c>
      <c r="H7" s="39" t="n">
        <v>1.85</v>
      </c>
      <c r="I7" s="41" t="n">
        <v>0.0132</v>
      </c>
      <c r="J7" s="40" t="n">
        <v>1.39</v>
      </c>
      <c r="K7" s="40" t="n">
        <v>0.0102</v>
      </c>
    </row>
    <row r="8">
      <c r="A8" s="42" t="n">
        <v>4</v>
      </c>
      <c r="B8" s="43" t="inlineStr">
        <is>
          <t>Steelers</t>
        </is>
      </c>
      <c r="C8" s="43" t="inlineStr">
        <is>
          <t>PIT</t>
        </is>
      </c>
      <c r="D8" s="42" t="inlineStr">
        <is>
          <t>CLE</t>
        </is>
      </c>
      <c r="E8" s="44" t="n">
        <v>4900</v>
      </c>
      <c r="F8" s="38" t="n">
        <v>19.5</v>
      </c>
      <c r="G8" s="45" t="n">
        <v>8.43</v>
      </c>
      <c r="H8" s="45" t="n">
        <v>1.72</v>
      </c>
      <c r="I8" s="41" t="n">
        <v>0.0165</v>
      </c>
      <c r="J8" s="40" t="n">
        <v>1.57</v>
      </c>
      <c r="K8" s="40" t="n">
        <v>0.0119</v>
      </c>
    </row>
    <row r="9">
      <c r="A9" s="35" t="n">
        <v>5</v>
      </c>
      <c r="B9" s="36" t="inlineStr">
        <is>
          <t>Broncos</t>
        </is>
      </c>
      <c r="C9" s="36" t="inlineStr">
        <is>
          <t>DEN</t>
        </is>
      </c>
      <c r="D9" s="35" t="inlineStr">
        <is>
          <t>KC</t>
        </is>
      </c>
      <c r="E9" s="37" t="n">
        <v>4100</v>
      </c>
      <c r="F9" s="38" t="n">
        <v>20.75</v>
      </c>
      <c r="G9" s="39" t="n">
        <v>7.99</v>
      </c>
      <c r="H9" s="39" t="n">
        <v>1.95</v>
      </c>
      <c r="I9" s="41" t="n">
        <v>0.0174</v>
      </c>
      <c r="J9" s="40" t="n">
        <v>2.07</v>
      </c>
      <c r="K9" s="40" t="n">
        <v>0.0204</v>
      </c>
    </row>
    <row r="10">
      <c r="A10" s="35" t="n">
        <v>6</v>
      </c>
      <c r="B10" s="36" t="inlineStr">
        <is>
          <t>Chiefs</t>
        </is>
      </c>
      <c r="C10" s="36" t="inlineStr">
        <is>
          <t>KC</t>
        </is>
      </c>
      <c r="D10" s="35" t="inlineStr">
        <is>
          <t>DEN</t>
        </is>
      </c>
      <c r="E10" s="37" t="n">
        <v>4600</v>
      </c>
      <c r="F10" s="38" t="n">
        <v>20.75</v>
      </c>
      <c r="G10" s="39" t="n">
        <v>7.99</v>
      </c>
      <c r="H10" s="39" t="n">
        <v>1.74</v>
      </c>
      <c r="I10" s="41" t="n">
        <v>0.015</v>
      </c>
      <c r="J10" s="40" t="n">
        <v>1.64</v>
      </c>
      <c r="K10" s="40" t="n">
        <v>0.0133</v>
      </c>
    </row>
    <row r="11">
      <c r="A11" s="35" t="n">
        <v>7</v>
      </c>
      <c r="B11" s="36" t="inlineStr">
        <is>
          <t>Jaguars</t>
        </is>
      </c>
      <c r="C11" s="36" t="inlineStr">
        <is>
          <t>JAC</t>
        </is>
      </c>
      <c r="D11" s="35" t="inlineStr">
        <is>
          <t>IND</t>
        </is>
      </c>
      <c r="E11" s="37" t="n">
        <v>4700</v>
      </c>
      <c r="F11" s="38" t="n">
        <v>23.25</v>
      </c>
      <c r="G11" s="39" t="n">
        <v>7.11</v>
      </c>
      <c r="H11" s="39" t="n">
        <v>1.51</v>
      </c>
      <c r="I11" s="41" t="n">
        <v>0.009900000000000001</v>
      </c>
      <c r="J11" s="40" t="n">
        <v>1.63</v>
      </c>
      <c r="K11" s="40" t="n">
        <v>0.0143</v>
      </c>
    </row>
    <row r="12">
      <c r="A12" s="35" t="n">
        <v>8</v>
      </c>
      <c r="B12" s="36" t="inlineStr">
        <is>
          <t>Patriots</t>
        </is>
      </c>
      <c r="C12" s="36" t="inlineStr">
        <is>
          <t>NE</t>
        </is>
      </c>
      <c r="D12" s="35" t="inlineStr">
        <is>
          <t>MIA</t>
        </is>
      </c>
      <c r="E12" s="37" t="n">
        <v>5000</v>
      </c>
      <c r="F12" s="38" t="n">
        <v>22.25</v>
      </c>
      <c r="G12" s="39" t="n">
        <v>7.46</v>
      </c>
      <c r="H12" s="39" t="n">
        <v>1.49</v>
      </c>
      <c r="I12" s="41" t="n">
        <v>0.0107</v>
      </c>
      <c r="J12" s="40" t="n">
        <v>1.35</v>
      </c>
      <c r="K12" s="40" t="n">
        <v>0.009599999999999999</v>
      </c>
    </row>
    <row r="13">
      <c r="A13" s="42" t="n">
        <v>9</v>
      </c>
      <c r="B13" s="43" t="inlineStr">
        <is>
          <t>Titans</t>
        </is>
      </c>
      <c r="C13" s="43" t="inlineStr">
        <is>
          <t>TEN</t>
        </is>
      </c>
      <c r="D13" s="42" t="inlineStr">
        <is>
          <t>CIN</t>
        </is>
      </c>
      <c r="E13" s="44" t="n">
        <v>3300</v>
      </c>
      <c r="F13" s="38" t="n">
        <v>23.25</v>
      </c>
      <c r="G13" s="45" t="n">
        <v>7.11</v>
      </c>
      <c r="H13" s="45" t="n">
        <v>2.16</v>
      </c>
      <c r="I13" s="41" t="n">
        <v>0.0157</v>
      </c>
      <c r="J13" s="40" t="n">
        <v>1.78</v>
      </c>
      <c r="K13" s="40" t="n">
        <v>0.0137</v>
      </c>
    </row>
    <row r="14">
      <c r="A14" s="42" t="n">
        <v>10</v>
      </c>
      <c r="B14" s="43" t="inlineStr">
        <is>
          <t>Browns</t>
        </is>
      </c>
      <c r="C14" s="43" t="inlineStr">
        <is>
          <t>CLE</t>
        </is>
      </c>
      <c r="D14" s="42" t="inlineStr">
        <is>
          <t>PIT</t>
        </is>
      </c>
      <c r="E14" s="44" t="n">
        <v>4200</v>
      </c>
      <c r="F14" s="38" t="n">
        <v>19.5</v>
      </c>
      <c r="G14" s="45" t="n">
        <v>8.43</v>
      </c>
      <c r="H14" s="45" t="n">
        <v>2.01</v>
      </c>
      <c r="I14" s="41" t="n">
        <v>0.0202</v>
      </c>
      <c r="J14" s="40" t="n">
        <v>2.2</v>
      </c>
      <c r="K14" s="40" t="n">
        <v>0.0238</v>
      </c>
    </row>
    <row r="15">
      <c r="A15" s="35" t="n">
        <v>11</v>
      </c>
      <c r="B15" s="36" t="inlineStr">
        <is>
          <t>Falcons</t>
        </is>
      </c>
      <c r="C15" s="36" t="inlineStr">
        <is>
          <t>ATL</t>
        </is>
      </c>
      <c r="D15" s="35" t="inlineStr">
        <is>
          <t>TB</t>
        </is>
      </c>
      <c r="E15" s="37" t="n">
        <v>3700</v>
      </c>
      <c r="F15" s="38" t="n">
        <v>23</v>
      </c>
      <c r="G15" s="39" t="n">
        <v>7.2</v>
      </c>
      <c r="H15" s="39" t="n">
        <v>1.95</v>
      </c>
      <c r="I15" s="41" t="n">
        <v>0.0141</v>
      </c>
      <c r="J15" s="40" t="n">
        <v>1.86</v>
      </c>
      <c r="K15" s="40" t="n">
        <v>0.017</v>
      </c>
    </row>
    <row r="16">
      <c r="A16" s="35" t="n">
        <v>12</v>
      </c>
      <c r="B16" s="36" t="inlineStr">
        <is>
          <t>Jets</t>
        </is>
      </c>
      <c r="C16" s="36" t="inlineStr">
        <is>
          <t>NYJ</t>
        </is>
      </c>
      <c r="D16" s="35" t="inlineStr">
        <is>
          <t>LV</t>
        </is>
      </c>
      <c r="E16" s="37" t="n">
        <v>3800</v>
      </c>
      <c r="F16" s="38" t="n">
        <v>22.5</v>
      </c>
      <c r="G16" s="39" t="n">
        <v>7.38</v>
      </c>
      <c r="H16" s="39" t="n">
        <v>1.94</v>
      </c>
      <c r="I16" s="41" t="n">
        <v>0.0148</v>
      </c>
      <c r="J16" s="40" t="n">
        <v>1.83</v>
      </c>
      <c r="K16" s="40" t="n">
        <v>0.0148</v>
      </c>
    </row>
    <row r="17">
      <c r="A17" s="35" t="n">
        <v>13</v>
      </c>
      <c r="B17" s="36" t="inlineStr">
        <is>
          <t>Raiders</t>
        </is>
      </c>
      <c r="C17" s="36" t="inlineStr">
        <is>
          <t>LV</t>
        </is>
      </c>
      <c r="D17" s="35" t="inlineStr">
        <is>
          <t>NYJ</t>
        </is>
      </c>
      <c r="E17" s="37" t="n">
        <v>4400</v>
      </c>
      <c r="F17" s="38" t="n">
        <v>22.5</v>
      </c>
      <c r="G17" s="39" t="n">
        <v>7.38</v>
      </c>
      <c r="H17" s="39" t="n">
        <v>1.68</v>
      </c>
      <c r="I17" s="41" t="n">
        <v>0.0122</v>
      </c>
      <c r="J17" s="40" t="n">
        <v>1.27</v>
      </c>
      <c r="K17" s="40" t="n">
        <v>0.0089</v>
      </c>
    </row>
    <row r="18">
      <c r="A18" s="42" t="n">
        <v>14</v>
      </c>
      <c r="B18" s="43" t="inlineStr">
        <is>
          <t>Chargers</t>
        </is>
      </c>
      <c r="C18" s="43" t="inlineStr">
        <is>
          <t>LAC</t>
        </is>
      </c>
      <c r="D18" s="42" t="inlineStr">
        <is>
          <t>LA</t>
        </is>
      </c>
      <c r="E18" s="44" t="n">
        <v>3100</v>
      </c>
      <c r="F18" s="38" t="n">
        <v>22</v>
      </c>
      <c r="G18" s="45" t="n">
        <v>7.55</v>
      </c>
      <c r="H18" s="45" t="n">
        <v>2.44</v>
      </c>
      <c r="I18" s="41" t="n">
        <v>0.0208</v>
      </c>
      <c r="J18" s="40" t="n">
        <v>1.57</v>
      </c>
      <c r="K18" s="40" t="n">
        <v>0.0139</v>
      </c>
    </row>
    <row r="19">
      <c r="A19" s="35" t="n">
        <v>15</v>
      </c>
      <c r="B19" s="36" t="inlineStr">
        <is>
          <t>Lions</t>
        </is>
      </c>
      <c r="C19" s="36" t="inlineStr">
        <is>
          <t>DET</t>
        </is>
      </c>
      <c r="D19" s="35" t="inlineStr">
        <is>
          <t>MIN</t>
        </is>
      </c>
      <c r="E19" s="37" t="n">
        <v>3400</v>
      </c>
      <c r="F19" s="38" t="n">
        <v>23</v>
      </c>
      <c r="G19" s="39" t="n">
        <v>7.2</v>
      </c>
      <c r="H19" s="39" t="n">
        <v>2.12</v>
      </c>
      <c r="I19" s="41" t="n">
        <v>0.0157</v>
      </c>
      <c r="J19" s="40" t="n">
        <v>1.73</v>
      </c>
      <c r="K19" s="40" t="n">
        <v>0.0142</v>
      </c>
    </row>
    <row r="20">
      <c r="A20" s="35" t="n">
        <v>16</v>
      </c>
      <c r="B20" s="36" t="inlineStr">
        <is>
          <t>Ravens</t>
        </is>
      </c>
      <c r="C20" s="36" t="inlineStr">
        <is>
          <t>BAL</t>
        </is>
      </c>
      <c r="D20" s="35" t="inlineStr">
        <is>
          <t>BUF</t>
        </is>
      </c>
      <c r="E20" s="37" t="n">
        <v>3600</v>
      </c>
      <c r="F20" s="38" t="n">
        <v>26.75</v>
      </c>
      <c r="G20" s="39" t="n">
        <v>5.7</v>
      </c>
      <c r="H20" s="39" t="n">
        <v>1.58</v>
      </c>
      <c r="I20" s="41" t="n">
        <v>0.0065</v>
      </c>
      <c r="J20" s="40" t="n">
        <v>1.55</v>
      </c>
      <c r="K20" s="40" t="n">
        <v>0.014</v>
      </c>
    </row>
    <row r="21">
      <c r="A21" s="42" t="n">
        <v>17</v>
      </c>
      <c r="B21" s="43" t="inlineStr">
        <is>
          <t>Rams</t>
        </is>
      </c>
      <c r="C21" s="43" t="inlineStr">
        <is>
          <t>LAR</t>
        </is>
      </c>
      <c r="D21" s="42" t="inlineStr">
        <is>
          <t>LAC</t>
        </is>
      </c>
      <c r="E21" s="44" t="n">
        <v>4500</v>
      </c>
      <c r="F21" s="38" t="n">
        <v>22</v>
      </c>
      <c r="G21" s="45" t="n">
        <v>7.55</v>
      </c>
      <c r="H21" s="45" t="n">
        <v>1.68</v>
      </c>
      <c r="I21" s="41" t="n">
        <v>0.0128</v>
      </c>
      <c r="J21" s="40" t="n">
        <v>2.25</v>
      </c>
      <c r="K21" s="40" t="n">
        <v>0.0222</v>
      </c>
    </row>
    <row r="22">
      <c r="A22" s="42" t="n">
        <v>18</v>
      </c>
      <c r="B22" s="43" t="inlineStr">
        <is>
          <t>Bills</t>
        </is>
      </c>
      <c r="C22" s="43" t="inlineStr">
        <is>
          <t>BUF</t>
        </is>
      </c>
      <c r="D22" s="42" t="inlineStr">
        <is>
          <t>BAL</t>
        </is>
      </c>
      <c r="E22" s="44" t="n">
        <v>4300</v>
      </c>
      <c r="F22" s="38" t="n">
        <v>26.75</v>
      </c>
      <c r="G22" s="45" t="n">
        <v>5.7</v>
      </c>
      <c r="H22" s="45" t="n">
        <v>1.33</v>
      </c>
      <c r="I22" s="41" t="n">
        <v>0.0051</v>
      </c>
      <c r="J22" s="40" t="n">
        <v>2.04</v>
      </c>
      <c r="K22" s="40" t="n">
        <v>0.0171</v>
      </c>
    </row>
    <row r="23">
      <c r="A23" s="42" t="n">
        <v>19</v>
      </c>
      <c r="B23" s="43" t="inlineStr">
        <is>
          <t>Cardinals</t>
        </is>
      </c>
      <c r="C23" s="43" t="inlineStr">
        <is>
          <t>ARI</t>
        </is>
      </c>
      <c r="D23" s="42" t="inlineStr">
        <is>
          <t>DAL</t>
        </is>
      </c>
      <c r="E23" s="44" t="n">
        <v>3200</v>
      </c>
      <c r="F23" s="38" t="n">
        <v>27.25</v>
      </c>
      <c r="G23" s="45" t="n">
        <v>5.5</v>
      </c>
      <c r="H23" s="45" t="n">
        <v>1.72</v>
      </c>
      <c r="I23" s="41" t="n">
        <v>0.0066</v>
      </c>
      <c r="J23" s="40" t="n">
        <v>1.68</v>
      </c>
      <c r="K23" s="40" t="n">
        <v>0.0167</v>
      </c>
    </row>
    <row r="24">
      <c r="A24" s="35" t="n">
        <v>20</v>
      </c>
      <c r="B24" s="36" t="inlineStr">
        <is>
          <t>Colts</t>
        </is>
      </c>
      <c r="C24" s="36" t="inlineStr">
        <is>
          <t>IND</t>
        </is>
      </c>
      <c r="D24" s="35" t="inlineStr">
        <is>
          <t>JAC</t>
        </is>
      </c>
      <c r="E24" s="37" t="n">
        <v>3500</v>
      </c>
      <c r="F24" s="38" t="n">
        <v>23.25</v>
      </c>
      <c r="G24" s="39" t="n">
        <v>7.11</v>
      </c>
      <c r="H24" s="39" t="n">
        <v>2.03</v>
      </c>
      <c r="I24" s="41" t="n">
        <v>0.0151</v>
      </c>
      <c r="J24" s="40" t="n">
        <v>1.35</v>
      </c>
      <c r="K24" s="40" t="n">
        <v>0.0152</v>
      </c>
    </row>
    <row r="25">
      <c r="A25" s="42" t="n">
        <v>21</v>
      </c>
      <c r="B25" s="43" t="inlineStr">
        <is>
          <t>Cowboys</t>
        </is>
      </c>
      <c r="C25" s="43" t="inlineStr">
        <is>
          <t>DAL</t>
        </is>
      </c>
      <c r="D25" s="42" t="inlineStr">
        <is>
          <t>ARI</t>
        </is>
      </c>
      <c r="E25" s="44" t="n">
        <v>4000</v>
      </c>
      <c r="F25" s="38" t="n">
        <v>27.25</v>
      </c>
      <c r="G25" s="45" t="n">
        <v>5.5</v>
      </c>
      <c r="H25" s="45" t="n">
        <v>1.38</v>
      </c>
      <c r="I25" s="41" t="n">
        <v>0.005</v>
      </c>
      <c r="J25" s="40" t="n">
        <v>2.07</v>
      </c>
      <c r="K25" s="40" t="n">
        <v>0.0204</v>
      </c>
    </row>
    <row r="26">
      <c r="A26" s="42" t="n">
        <v>22</v>
      </c>
      <c r="B26" s="43" t="inlineStr">
        <is>
          <t>Dolphins</t>
        </is>
      </c>
      <c r="C26" s="43" t="inlineStr">
        <is>
          <t>MIA</t>
        </is>
      </c>
      <c r="D26" s="42" t="inlineStr">
        <is>
          <t>NE</t>
        </is>
      </c>
      <c r="E26" s="44" t="n">
        <v>3000</v>
      </c>
      <c r="F26" s="38" t="n">
        <v>22.25</v>
      </c>
      <c r="G26" s="45" t="n">
        <v>7.46</v>
      </c>
      <c r="H26" s="45" t="n">
        <v>2.49</v>
      </c>
      <c r="I26" s="41" t="n">
        <v>0.0208</v>
      </c>
      <c r="J26" s="40" t="n">
        <v>1.88</v>
      </c>
      <c r="K26" s="40" t="n">
        <v>0.0148</v>
      </c>
    </row>
    <row r="27">
      <c r="A27" s="42" t="n">
        <v>23</v>
      </c>
      <c r="B27" s="43" t="inlineStr">
        <is>
          <t>Texans</t>
        </is>
      </c>
      <c r="C27" s="43" t="inlineStr">
        <is>
          <t>HOU</t>
        </is>
      </c>
      <c r="D27" s="42" t="inlineStr">
        <is>
          <t>NYG</t>
        </is>
      </c>
      <c r="E27" s="44" t="n">
        <v>4500</v>
      </c>
      <c r="F27" s="38" t="n">
        <v>22</v>
      </c>
      <c r="G27" s="45" t="n">
        <v>9.42</v>
      </c>
      <c r="H27" s="45" t="n">
        <v>2.09</v>
      </c>
      <c r="I27" s="41" t="n">
        <v>0.0264</v>
      </c>
      <c r="J27" s="40" t="n">
        <v>1.37</v>
      </c>
      <c r="K27" s="40" t="n">
        <v>0.009599999999999999</v>
      </c>
    </row>
    <row r="28">
      <c r="A28" s="35" t="n">
        <v>24</v>
      </c>
      <c r="B28" s="36" t="inlineStr">
        <is>
          <t>Colts</t>
        </is>
      </c>
      <c r="C28" s="36" t="inlineStr">
        <is>
          <t>IND</t>
        </is>
      </c>
      <c r="D28" s="35" t="inlineStr">
        <is>
          <t>JAC</t>
        </is>
      </c>
      <c r="E28" s="37" t="n">
        <v>3400</v>
      </c>
      <c r="F28" s="38" t="n">
        <v>23.25</v>
      </c>
      <c r="G28" s="39" t="n">
        <v>7.11</v>
      </c>
      <c r="H28" s="39" t="n">
        <v>2.09</v>
      </c>
      <c r="I28" s="41" t="n">
        <v>0.0151</v>
      </c>
      <c r="J28" s="40" t="n">
        <v>1.86</v>
      </c>
      <c r="K28" s="40" t="n">
        <v>0.0152</v>
      </c>
    </row>
    <row r="29">
      <c r="A29" s="50" t="n">
        <v>25</v>
      </c>
      <c r="B29" s="51" t="inlineStr">
        <is>
          <t>Commanders</t>
        </is>
      </c>
      <c r="C29" s="51" t="inlineStr">
        <is>
          <t>WAS</t>
        </is>
      </c>
      <c r="D29" s="50" t="inlineStr">
        <is>
          <t>PHI</t>
        </is>
      </c>
      <c r="E29" s="52" t="n">
        <v>3200</v>
      </c>
      <c r="F29" s="40" t="n">
        <v>20.5</v>
      </c>
      <c r="G29" s="40" t="n">
        <v>9.949999999999999</v>
      </c>
      <c r="H29" s="40" t="n">
        <v>3.11</v>
      </c>
      <c r="I29" s="41" t="n">
        <v>0.049</v>
      </c>
      <c r="J29" s="40" t="n">
        <v>1.97</v>
      </c>
      <c r="K29" s="40" t="n">
        <v>0.0162</v>
      </c>
    </row>
    <row r="30">
      <c r="A30" s="50" t="n">
        <v>26</v>
      </c>
      <c r="B30" s="51" t="inlineStr">
        <is>
          <t>Dolphins</t>
        </is>
      </c>
      <c r="C30" s="51" t="inlineStr">
        <is>
          <t>MIA</t>
        </is>
      </c>
      <c r="D30" s="50" t="inlineStr">
        <is>
          <t>NE</t>
        </is>
      </c>
      <c r="E30" s="52" t="n">
        <v>3000</v>
      </c>
      <c r="F30" s="40" t="n">
        <v>22.25</v>
      </c>
      <c r="G30" s="40" t="n">
        <v>7.46</v>
      </c>
      <c r="H30" s="40" t="n">
        <v>2.49</v>
      </c>
      <c r="I30" s="41" t="n">
        <v>0.0208</v>
      </c>
      <c r="J30" s="40" t="n">
        <v>2.33</v>
      </c>
      <c r="K30" s="40" t="n">
        <v>0.0253</v>
      </c>
    </row>
  </sheetData>
  <autoFilter ref="A4:O26">
    <sortState ref="A5:H28">
      <sortCondition descending="1" ref="H4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4" customWidth="1" style="29" min="1" max="1"/>
    <col width="12" customWidth="1" style="29" min="2" max="2"/>
    <col width="28" customWidth="1" style="29" min="3" max="3"/>
    <col width="8" customWidth="1" style="29" min="4" max="4"/>
    <col width="12" customWidth="1" style="29" min="5" max="5"/>
    <col width="42" customWidth="1" style="29" min="6" max="6"/>
  </cols>
  <sheetData>
    <row r="1" ht="21" customHeight="1" s="29">
      <c r="A1" s="1" t="inlineStr">
        <is>
          <t>Source Sheet</t>
        </is>
      </c>
      <c r="B1" s="1" t="inlineStr">
        <is>
          <t>Position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Original Rank</t>
        </is>
      </c>
      <c r="F1" s="1" t="inlineStr">
        <is>
          <t>Removal Reason</t>
        </is>
      </c>
    </row>
    <row r="2">
      <c r="A2" t="inlineStr">
        <is>
          <t>Quarterbacks (QB)</t>
        </is>
      </c>
      <c r="B2" t="inlineStr">
        <is>
          <t>QB</t>
        </is>
      </c>
      <c r="C2" t="inlineStr">
        <is>
          <t>Dillon Gabriel</t>
        </is>
      </c>
      <c r="D2" t="inlineStr">
        <is>
          <t>CLE</t>
        </is>
      </c>
      <c r="E2" t="n">
        <v>28</v>
      </c>
      <c r="F2" t="inlineStr">
        <is>
          <t>Not in top-2 Week 1 depth-chart role</t>
        </is>
      </c>
    </row>
    <row r="3">
      <c r="A3" t="inlineStr">
        <is>
          <t>Quarterbacks (QB)</t>
        </is>
      </c>
      <c r="B3" t="inlineStr">
        <is>
          <t>QB</t>
        </is>
      </c>
      <c r="C3" t="inlineStr">
        <is>
          <t>Cooper Rush</t>
        </is>
      </c>
      <c r="D3" t="inlineStr">
        <is>
          <t>ATL</t>
        </is>
      </c>
      <c r="E3" t="n">
        <v>29</v>
      </c>
      <c r="F3" t="inlineStr">
        <is>
          <t>Not in top-2 Week 1 depth-chart role</t>
        </is>
      </c>
    </row>
    <row r="4">
      <c r="A4" t="inlineStr">
        <is>
          <t>Quarterbacks (QB)</t>
        </is>
      </c>
      <c r="B4" t="inlineStr">
        <is>
          <t>QB</t>
        </is>
      </c>
      <c r="C4" t="inlineStr">
        <is>
          <t>J.J. McCarthy</t>
        </is>
      </c>
      <c r="D4" t="inlineStr">
        <is>
          <t>MIN</t>
        </is>
      </c>
      <c r="E4" t="n">
        <v>30</v>
      </c>
      <c r="F4" t="inlineStr">
        <is>
          <t>Not in top-2 Week 1 depth-chart role</t>
        </is>
      </c>
    </row>
    <row r="5">
      <c r="A5" t="inlineStr">
        <is>
          <t>Quarterbacks (QB)</t>
        </is>
      </c>
      <c r="B5" t="inlineStr">
        <is>
          <t>QB</t>
        </is>
      </c>
      <c r="C5" t="inlineStr">
        <is>
          <t>Joey Aguilar</t>
        </is>
      </c>
      <c r="D5" t="inlineStr">
        <is>
          <t>JAC</t>
        </is>
      </c>
      <c r="E5" t="n">
        <v>32</v>
      </c>
      <c r="F5" t="inlineStr">
        <is>
          <t>Not in top-2 Week 1 depth-chart role</t>
        </is>
      </c>
    </row>
    <row r="6">
      <c r="A6" t="inlineStr">
        <is>
          <t>Quarterbacks (QB)</t>
        </is>
      </c>
      <c r="B6" t="inlineStr">
        <is>
          <t>QB</t>
        </is>
      </c>
      <c r="C6" t="inlineStr">
        <is>
          <t>Skylar Thompson</t>
        </is>
      </c>
      <c r="D6" t="inlineStr">
        <is>
          <t>BAL</t>
        </is>
      </c>
      <c r="E6" t="n">
        <v>34</v>
      </c>
      <c r="F6" t="inlineStr">
        <is>
          <t>Not in top-2 Week 1 depth-chart role</t>
        </is>
      </c>
    </row>
    <row r="7">
      <c r="A7" t="inlineStr">
        <is>
          <t>Quarterbacks (QB)</t>
        </is>
      </c>
      <c r="B7" t="inlineStr">
        <is>
          <t>QB</t>
        </is>
      </c>
      <c r="C7" t="inlineStr">
        <is>
          <t>Joe Fagnano</t>
        </is>
      </c>
      <c r="D7" t="inlineStr">
        <is>
          <t>BAL</t>
        </is>
      </c>
      <c r="E7" t="n">
        <v>36</v>
      </c>
      <c r="F7" t="inlineStr">
        <is>
          <t>Not in top-2 Week 1 depth-chart role</t>
        </is>
      </c>
    </row>
    <row r="8">
      <c r="A8" t="inlineStr">
        <is>
          <t>Quarterbacks (QB)</t>
        </is>
      </c>
      <c r="B8" t="inlineStr">
        <is>
          <t>QB</t>
        </is>
      </c>
      <c r="C8" t="inlineStr">
        <is>
          <t>Cam Miller</t>
        </is>
      </c>
      <c r="D8" t="inlineStr">
        <is>
          <t>MIA</t>
        </is>
      </c>
      <c r="E8" t="n">
        <v>37</v>
      </c>
      <c r="F8" t="inlineStr">
        <is>
          <t>Not in top-2 Week 1 depth-chart role</t>
        </is>
      </c>
    </row>
    <row r="9">
      <c r="A9" t="inlineStr">
        <is>
          <t>Quarterbacks (QB)</t>
        </is>
      </c>
      <c r="B9" t="inlineStr">
        <is>
          <t>QB</t>
        </is>
      </c>
      <c r="C9" t="inlineStr">
        <is>
          <t>Cole Payton</t>
        </is>
      </c>
      <c r="D9" t="inlineStr">
        <is>
          <t>PHI</t>
        </is>
      </c>
      <c r="E9" t="n">
        <v>39</v>
      </c>
      <c r="F9" t="inlineStr">
        <is>
          <t>Not in top-2 Week 1 depth-chart role</t>
        </is>
      </c>
    </row>
    <row r="10">
      <c r="A10" t="inlineStr">
        <is>
          <t>Quarterbacks (QB)</t>
        </is>
      </c>
      <c r="B10" t="inlineStr">
        <is>
          <t>QB</t>
        </is>
      </c>
      <c r="C10" t="inlineStr">
        <is>
          <t>Nick Mullens</t>
        </is>
      </c>
      <c r="D10" t="inlineStr">
        <is>
          <t>JAC</t>
        </is>
      </c>
      <c r="E10" t="n">
        <v>40</v>
      </c>
      <c r="F10" t="inlineStr">
        <is>
          <t>Not in top-2 Week 1 depth-chart role</t>
        </is>
      </c>
    </row>
    <row r="11">
      <c r="A11" t="inlineStr">
        <is>
          <t>Quarterbacks (QB)</t>
        </is>
      </c>
      <c r="B11" t="inlineStr">
        <is>
          <t>QB</t>
        </is>
      </c>
      <c r="C11" t="inlineStr">
        <is>
          <t>Sam Hartman</t>
        </is>
      </c>
      <c r="D11" t="inlineStr">
        <is>
          <t>WAS</t>
        </is>
      </c>
      <c r="E11" t="n">
        <v>42</v>
      </c>
      <c r="F11" t="inlineStr">
        <is>
          <t>Not in top-2 Week 1 depth-chart role</t>
        </is>
      </c>
    </row>
    <row r="12">
      <c r="A12" t="inlineStr">
        <is>
          <t>Quarterbacks (QB)</t>
        </is>
      </c>
      <c r="B12" t="inlineStr">
        <is>
          <t>QB</t>
        </is>
      </c>
      <c r="C12" t="inlineStr">
        <is>
          <t>Bailey Zappe</t>
        </is>
      </c>
      <c r="D12" t="inlineStr">
        <is>
          <t>NYJ</t>
        </is>
      </c>
      <c r="E12" t="n">
        <v>44</v>
      </c>
      <c r="F12" t="inlineStr">
        <is>
          <t>Not in top-2 Week 1 depth-chart role</t>
        </is>
      </c>
    </row>
    <row r="13">
      <c r="A13" t="inlineStr">
        <is>
          <t>Quarterbacks (QB)</t>
        </is>
      </c>
      <c r="B13" t="inlineStr">
        <is>
          <t>QB</t>
        </is>
      </c>
      <c r="C13" t="inlineStr">
        <is>
          <t>Drew Allar</t>
        </is>
      </c>
      <c r="D13" t="inlineStr">
        <is>
          <t>PIT</t>
        </is>
      </c>
      <c r="E13" t="n">
        <v>45</v>
      </c>
      <c r="F13" t="inlineStr">
        <is>
          <t>Not in top-2 Week 1 depth-chart role</t>
        </is>
      </c>
    </row>
    <row r="14">
      <c r="A14" t="inlineStr">
        <is>
          <t>Quarterbacks (QB)</t>
        </is>
      </c>
      <c r="B14" t="inlineStr">
        <is>
          <t>QB</t>
        </is>
      </c>
      <c r="C14" t="inlineStr">
        <is>
          <t>Malik Cunningham</t>
        </is>
      </c>
      <c r="D14" t="inlineStr">
        <is>
          <t>DET</t>
        </is>
      </c>
      <c r="E14" t="n">
        <v>46</v>
      </c>
      <c r="F14" t="inlineStr">
        <is>
          <t>Not in top-2 Week 1 depth-chart role</t>
        </is>
      </c>
    </row>
    <row r="15">
      <c r="A15" t="inlineStr">
        <is>
          <t>Quarterbacks (QB)</t>
        </is>
      </c>
      <c r="B15" t="inlineStr">
        <is>
          <t>QB</t>
        </is>
      </c>
      <c r="C15" t="inlineStr">
        <is>
          <t>Riley Leonard</t>
        </is>
      </c>
      <c r="D15" t="inlineStr">
        <is>
          <t>IND</t>
        </is>
      </c>
      <c r="E15" t="n">
        <v>47</v>
      </c>
      <c r="F15" t="inlineStr">
        <is>
          <t>Not in top-2 Week 1 depth-chart role</t>
        </is>
      </c>
    </row>
    <row r="16">
      <c r="A16" t="inlineStr">
        <is>
          <t>Quarterbacks (QB)</t>
        </is>
      </c>
      <c r="B16" t="inlineStr">
        <is>
          <t>QB</t>
        </is>
      </c>
      <c r="C16" t="inlineStr">
        <is>
          <t>Josh Johnson</t>
        </is>
      </c>
      <c r="D16" t="inlineStr">
        <is>
          <t>CIN</t>
        </is>
      </c>
      <c r="E16" t="n">
        <v>48</v>
      </c>
      <c r="F16" t="inlineStr">
        <is>
          <t>Not in top-2 Week 1 depth-chart role</t>
        </is>
      </c>
    </row>
    <row r="17">
      <c r="A17" t="inlineStr">
        <is>
          <t>Quarterbacks (QB)</t>
        </is>
      </c>
      <c r="B17" t="inlineStr">
        <is>
          <t>QB</t>
        </is>
      </c>
      <c r="C17" t="inlineStr">
        <is>
          <t>Brady Cook</t>
        </is>
      </c>
      <c r="D17" t="inlineStr">
        <is>
          <t>MIA</t>
        </is>
      </c>
      <c r="E17" t="n">
        <v>49</v>
      </c>
      <c r="F17" t="inlineStr">
        <is>
          <t>Not in top-2 Week 1 depth-chart role</t>
        </is>
      </c>
    </row>
    <row r="18">
      <c r="A18" t="inlineStr">
        <is>
          <t>Quarterbacks (QB)</t>
        </is>
      </c>
      <c r="B18" t="inlineStr">
        <is>
          <t>QB</t>
        </is>
      </c>
      <c r="C18" t="inlineStr">
        <is>
          <t>Kyle Allen</t>
        </is>
      </c>
      <c r="D18" t="inlineStr">
        <is>
          <t>BUF</t>
        </is>
      </c>
      <c r="E18" t="n">
        <v>50</v>
      </c>
      <c r="F18" t="inlineStr">
        <is>
          <t>Not in top-2 Week 1 depth-chart role</t>
        </is>
      </c>
    </row>
    <row r="19">
      <c r="A19" t="inlineStr">
        <is>
          <t>Quarterbacks (QB)</t>
        </is>
      </c>
      <c r="B19" t="inlineStr">
        <is>
          <t>QB</t>
        </is>
      </c>
      <c r="C19" t="inlineStr">
        <is>
          <t>Carter Bradley</t>
        </is>
      </c>
      <c r="D19" t="inlineStr">
        <is>
          <t>JAC</t>
        </is>
      </c>
      <c r="E19" t="n">
        <v>51</v>
      </c>
      <c r="F19" t="inlineStr">
        <is>
          <t>Not in top-2 Week 1 depth-chart role</t>
        </is>
      </c>
    </row>
    <row r="20">
      <c r="A20" t="inlineStr">
        <is>
          <t>Quarterbacks (QB)</t>
        </is>
      </c>
      <c r="B20" t="inlineStr">
        <is>
          <t>QB</t>
        </is>
      </c>
      <c r="C20" t="inlineStr">
        <is>
          <t>Carson Beck</t>
        </is>
      </c>
      <c r="D20" t="inlineStr">
        <is>
          <t>ARI</t>
        </is>
      </c>
      <c r="E20" t="n">
        <v>53</v>
      </c>
      <c r="F20" t="inlineStr">
        <is>
          <t>Not in top-2 Week 1 depth-chart role</t>
        </is>
      </c>
    </row>
    <row r="21">
      <c r="A21" t="inlineStr">
        <is>
          <t>Quarterbacks (QB)</t>
        </is>
      </c>
      <c r="B21" t="inlineStr">
        <is>
          <t>QB</t>
        </is>
      </c>
      <c r="C21" t="inlineStr">
        <is>
          <t>Andy Dalton</t>
        </is>
      </c>
      <c r="D21" t="inlineStr">
        <is>
          <t>PHI</t>
        </is>
      </c>
      <c r="E21" t="n">
        <v>54</v>
      </c>
      <c r="F21" t="inlineStr">
        <is>
          <t>Not in top-2 Week 1 depth-chart role</t>
        </is>
      </c>
    </row>
    <row r="22">
      <c r="A22" t="inlineStr">
        <is>
          <t>Quarterbacks (QB)</t>
        </is>
      </c>
      <c r="B22" t="inlineStr">
        <is>
          <t>QB</t>
        </is>
      </c>
      <c r="C22" t="inlineStr">
        <is>
          <t>Haynes King</t>
        </is>
      </c>
      <c r="D22" t="inlineStr">
        <is>
          <t>CAR</t>
        </is>
      </c>
      <c r="E22" t="n">
        <v>55</v>
      </c>
      <c r="F22" t="inlineStr">
        <is>
          <t>Not in top-2 Week 1 depth-chart role</t>
        </is>
      </c>
    </row>
    <row r="23">
      <c r="A23" t="inlineStr">
        <is>
          <t>Quarterbacks (QB)</t>
        </is>
      </c>
      <c r="B23" t="inlineStr">
        <is>
          <t>QB</t>
        </is>
      </c>
      <c r="C23" t="inlineStr">
        <is>
          <t>Max Brosmer</t>
        </is>
      </c>
      <c r="D23" t="inlineStr">
        <is>
          <t>MIN</t>
        </is>
      </c>
      <c r="E23" t="n">
        <v>57</v>
      </c>
      <c r="F23" t="inlineStr">
        <is>
          <t>Not in top-2 Week 1 depth-chart role</t>
        </is>
      </c>
    </row>
    <row r="24">
      <c r="A24" t="inlineStr">
        <is>
          <t>Quarterbacks (QB)</t>
        </is>
      </c>
      <c r="B24" t="inlineStr">
        <is>
          <t>QB</t>
        </is>
      </c>
      <c r="C24" t="inlineStr">
        <is>
          <t>Hendon Hooker</t>
        </is>
      </c>
      <c r="D24" t="inlineStr">
        <is>
          <t>TEN</t>
        </is>
      </c>
      <c r="E24" t="n">
        <v>58</v>
      </c>
      <c r="F24" t="inlineStr">
        <is>
          <t>Not in top-2 Week 1 depth-chart role</t>
        </is>
      </c>
    </row>
    <row r="25">
      <c r="A25" t="inlineStr">
        <is>
          <t>Quarterbacks (QB)</t>
        </is>
      </c>
      <c r="B25" t="inlineStr">
        <is>
          <t>QB</t>
        </is>
      </c>
      <c r="C25" t="inlineStr">
        <is>
          <t>Mark Gronowski</t>
        </is>
      </c>
      <c r="D25" t="inlineStr">
        <is>
          <t>HOU</t>
        </is>
      </c>
      <c r="E25" t="n">
        <v>59</v>
      </c>
      <c r="F25" t="inlineStr">
        <is>
          <t>Not in top-2 Week 1 depth-chart role</t>
        </is>
      </c>
    </row>
    <row r="26">
      <c r="A26" t="inlineStr">
        <is>
          <t>Quarterbacks (QB)</t>
        </is>
      </c>
      <c r="B26" t="inlineStr">
        <is>
          <t>QB</t>
        </is>
      </c>
      <c r="C26" t="inlineStr">
        <is>
          <t>Kedon Slovis</t>
        </is>
      </c>
      <c r="D26" t="inlineStr">
        <is>
          <t>GB</t>
        </is>
      </c>
      <c r="E26" t="n">
        <v>60</v>
      </c>
      <c r="F26" t="inlineStr">
        <is>
          <t>Not in top-2 Week 1 depth-chart role</t>
        </is>
      </c>
    </row>
    <row r="27">
      <c r="A27" t="inlineStr">
        <is>
          <t>Quarterbacks (QB)</t>
        </is>
      </c>
      <c r="B27" t="inlineStr">
        <is>
          <t>QB</t>
        </is>
      </c>
      <c r="C27" t="inlineStr">
        <is>
          <t>Jacob Clark</t>
        </is>
      </c>
      <c r="D27" t="inlineStr">
        <is>
          <t>LV</t>
        </is>
      </c>
      <c r="E27" t="n">
        <v>64</v>
      </c>
      <c r="F27" t="inlineStr">
        <is>
          <t>Not in top-2 Week 1 depth-chart role</t>
        </is>
      </c>
    </row>
    <row r="28">
      <c r="A28" t="inlineStr">
        <is>
          <t>Quarterbacks (QB)</t>
        </is>
      </c>
      <c r="B28" t="inlineStr">
        <is>
          <t>QB</t>
        </is>
      </c>
      <c r="C28" t="inlineStr">
        <is>
          <t>Jack Strand</t>
        </is>
      </c>
      <c r="D28" t="inlineStr">
        <is>
          <t>ATL</t>
        </is>
      </c>
      <c r="E28" t="n">
        <v>66</v>
      </c>
      <c r="F28" t="inlineStr">
        <is>
          <t>Not in top-2 Week 1 depth-chart role</t>
        </is>
      </c>
    </row>
    <row r="29">
      <c r="A29" t="inlineStr">
        <is>
          <t>Quarterbacks (QB)</t>
        </is>
      </c>
      <c r="B29" t="inlineStr">
        <is>
          <t>QB</t>
        </is>
      </c>
      <c r="C29" t="inlineStr">
        <is>
          <t>Athan Kaliakmanis</t>
        </is>
      </c>
      <c r="D29" t="inlineStr">
        <is>
          <t>WAS</t>
        </is>
      </c>
      <c r="E29" t="n">
        <v>68</v>
      </c>
      <c r="F29" t="inlineStr">
        <is>
          <t>Not in top-2 Week 1 depth-chart role</t>
        </is>
      </c>
    </row>
    <row r="30">
      <c r="A30" t="inlineStr">
        <is>
          <t>Quarterbacks (QB)</t>
        </is>
      </c>
      <c r="B30" t="inlineStr">
        <is>
          <t>QB</t>
        </is>
      </c>
      <c r="C30" t="inlineStr">
        <is>
          <t>Graham Mertz</t>
        </is>
      </c>
      <c r="D30" t="inlineStr">
        <is>
          <t>HOU</t>
        </is>
      </c>
      <c r="E30" t="n">
        <v>69</v>
      </c>
      <c r="F30" t="inlineStr">
        <is>
          <t>Not in top-2 Week 1 depth-chart role</t>
        </is>
      </c>
    </row>
    <row r="31">
      <c r="A31" t="inlineStr">
        <is>
          <t>Quarterbacks (QB)</t>
        </is>
      </c>
      <c r="B31" t="inlineStr">
        <is>
          <t>QB</t>
        </is>
      </c>
      <c r="C31" t="inlineStr">
        <is>
          <t>Sean Clifford</t>
        </is>
      </c>
      <c r="D31" t="inlineStr">
        <is>
          <t>CIN</t>
        </is>
      </c>
      <c r="E31" t="n">
        <v>71</v>
      </c>
      <c r="F31" t="inlineStr">
        <is>
          <t>Not in top-2 Week 1 depth-chart role</t>
        </is>
      </c>
    </row>
    <row r="32">
      <c r="A32" t="inlineStr">
        <is>
          <t>Quarterbacks (QB)</t>
        </is>
      </c>
      <c r="B32" t="inlineStr">
        <is>
          <t>QB</t>
        </is>
      </c>
      <c r="C32" t="inlineStr">
        <is>
          <t>Aidan O'Connell</t>
        </is>
      </c>
      <c r="D32" t="inlineStr">
        <is>
          <t>LV</t>
        </is>
      </c>
      <c r="E32" t="n">
        <v>73</v>
      </c>
      <c r="F32" t="inlineStr">
        <is>
          <t>Not in top-2 Week 1 depth-chart role</t>
        </is>
      </c>
    </row>
    <row r="33">
      <c r="A33" t="inlineStr">
        <is>
          <t>Quarterbacks (QB)</t>
        </is>
      </c>
      <c r="B33" t="inlineStr">
        <is>
          <t>QB</t>
        </is>
      </c>
      <c r="C33" t="inlineStr">
        <is>
          <t>Shane Buechele</t>
        </is>
      </c>
      <c r="D33" t="inlineStr">
        <is>
          <t>BUF</t>
        </is>
      </c>
      <c r="E33" t="n">
        <v>74</v>
      </c>
      <c r="F33" t="inlineStr">
        <is>
          <t>Not in top-2 Week 1 depth-chart role</t>
        </is>
      </c>
    </row>
    <row r="34">
      <c r="A34" t="inlineStr">
        <is>
          <t>Quarterbacks (QB)</t>
        </is>
      </c>
      <c r="B34" t="inlineStr">
        <is>
          <t>QB</t>
        </is>
      </c>
      <c r="C34" t="inlineStr">
        <is>
          <t>Will Levis</t>
        </is>
      </c>
      <c r="D34" t="inlineStr">
        <is>
          <t>TEN</t>
        </is>
      </c>
      <c r="E34" t="n">
        <v>75</v>
      </c>
      <c r="F34" t="inlineStr">
        <is>
          <t>Not in top-2 Week 1 depth-chart role</t>
        </is>
      </c>
    </row>
    <row r="35">
      <c r="A35" t="inlineStr">
        <is>
          <t>Quarterbacks (QB)</t>
        </is>
      </c>
      <c r="B35" t="inlineStr">
        <is>
          <t>QB</t>
        </is>
      </c>
      <c r="C35" t="inlineStr">
        <is>
          <t>Taylen Green</t>
        </is>
      </c>
      <c r="D35" t="inlineStr">
        <is>
          <t>CLE</t>
        </is>
      </c>
      <c r="E35" t="n">
        <v>76</v>
      </c>
      <c r="F35" t="inlineStr">
        <is>
          <t>Not in top-2 Week 1 depth-chart role</t>
        </is>
      </c>
    </row>
    <row r="36">
      <c r="A36" t="inlineStr">
        <is>
          <t>Quarterbacks (QB)</t>
        </is>
      </c>
      <c r="B36" t="inlineStr">
        <is>
          <t>QB</t>
        </is>
      </c>
      <c r="C36" t="inlineStr">
        <is>
          <t>Zach Wilson</t>
        </is>
      </c>
      <c r="D36" t="inlineStr">
        <is>
          <t>NO</t>
        </is>
      </c>
      <c r="E36" t="n">
        <v>77</v>
      </c>
      <c r="F36" t="inlineStr">
        <is>
          <t>Not in top-2 Week 1 depth-chart role</t>
        </is>
      </c>
    </row>
    <row r="37">
      <c r="A37" t="inlineStr">
        <is>
          <t>Quarterbacks (QB)</t>
        </is>
      </c>
      <c r="B37" t="inlineStr">
        <is>
          <t>QB</t>
        </is>
      </c>
      <c r="C37" t="inlineStr">
        <is>
          <t>Hunter Dekkers</t>
        </is>
      </c>
      <c r="D37" t="inlineStr">
        <is>
          <t>NO</t>
        </is>
      </c>
      <c r="E37" t="n">
        <v>78</v>
      </c>
      <c r="F37" t="inlineStr">
        <is>
          <t>Not in top-2 Week 1 depth-chart role</t>
        </is>
      </c>
    </row>
    <row r="38">
      <c r="A38" t="inlineStr">
        <is>
          <t>Quarterbacks (QB)</t>
        </is>
      </c>
      <c r="B38" t="inlineStr">
        <is>
          <t>QB</t>
        </is>
      </c>
      <c r="C38" t="inlineStr">
        <is>
          <t>Will Howard</t>
        </is>
      </c>
      <c r="D38" t="inlineStr">
        <is>
          <t>PIT</t>
        </is>
      </c>
      <c r="E38" t="n">
        <v>79</v>
      </c>
      <c r="F38" t="inlineStr">
        <is>
          <t>Not in top-2 Week 1 depth-chart role</t>
        </is>
      </c>
    </row>
    <row r="39">
      <c r="A39" t="inlineStr">
        <is>
          <t>Quarterbacks (QB)</t>
        </is>
      </c>
      <c r="B39" t="inlineStr">
        <is>
          <t>QB</t>
        </is>
      </c>
      <c r="C39" t="inlineStr">
        <is>
          <t>Luke Altmyer</t>
        </is>
      </c>
      <c r="D39" t="inlineStr">
        <is>
          <t>DET</t>
        </is>
      </c>
      <c r="E39" t="n">
        <v>80</v>
      </c>
      <c r="F39" t="inlineStr">
        <is>
          <t>Not in top-2 Week 1 depth-chart role</t>
        </is>
      </c>
    </row>
    <row r="40">
      <c r="A40" t="inlineStr">
        <is>
          <t>Quarterbacks (QB)</t>
        </is>
      </c>
      <c r="B40" t="inlineStr">
        <is>
          <t>QB</t>
        </is>
      </c>
      <c r="C40" t="inlineStr">
        <is>
          <t>Easton Stick</t>
        </is>
      </c>
      <c r="D40" t="inlineStr">
        <is>
          <t>TB</t>
        </is>
      </c>
      <c r="E40" t="n">
        <v>81</v>
      </c>
      <c r="F40" t="inlineStr">
        <is>
          <t>Not in top-2 Week 1 depth-chart role</t>
        </is>
      </c>
    </row>
    <row r="41">
      <c r="A41" t="inlineStr">
        <is>
          <t>Quarterbacks (QB)</t>
        </is>
      </c>
      <c r="B41" t="inlineStr">
        <is>
          <t>QB</t>
        </is>
      </c>
      <c r="C41" t="inlineStr">
        <is>
          <t>Miller Moss</t>
        </is>
      </c>
      <c r="D41" t="inlineStr">
        <is>
          <t>CHI</t>
        </is>
      </c>
      <c r="E41" t="n">
        <v>83</v>
      </c>
      <c r="F41" t="inlineStr">
        <is>
          <t>Not in top-2 Week 1 depth-chart role</t>
        </is>
      </c>
    </row>
    <row r="42">
      <c r="A42" t="inlineStr">
        <is>
          <t>Quarterbacks (QB)</t>
        </is>
      </c>
      <c r="B42" t="inlineStr">
        <is>
          <t>QB</t>
        </is>
      </c>
      <c r="C42" t="inlineStr">
        <is>
          <t>Jake Browning</t>
        </is>
      </c>
      <c r="D42" t="inlineStr">
        <is>
          <t>TB</t>
        </is>
      </c>
      <c r="E42" t="n">
        <v>84</v>
      </c>
      <c r="F42" t="inlineStr">
        <is>
          <t>Not in top-2 Week 1 depth-chart role</t>
        </is>
      </c>
    </row>
    <row r="43">
      <c r="A43" t="inlineStr">
        <is>
          <t>Quarterbacks (QB)</t>
        </is>
      </c>
      <c r="B43" t="inlineStr">
        <is>
          <t>QB</t>
        </is>
      </c>
      <c r="C43" t="inlineStr">
        <is>
          <t>Connor Bazelak</t>
        </is>
      </c>
      <c r="D43" t="inlineStr">
        <is>
          <t>TB</t>
        </is>
      </c>
      <c r="E43" t="n">
        <v>86</v>
      </c>
      <c r="F43" t="inlineStr">
        <is>
          <t>Not in top-2 Week 1 depth-chart role</t>
        </is>
      </c>
    </row>
    <row r="44">
      <c r="A44" t="inlineStr">
        <is>
          <t>Quarterbacks (QB)</t>
        </is>
      </c>
      <c r="B44" t="inlineStr">
        <is>
          <t>QB</t>
        </is>
      </c>
      <c r="C44" t="inlineStr">
        <is>
          <t>Case Keenum</t>
        </is>
      </c>
      <c r="D44" t="inlineStr">
        <is>
          <t>CHI</t>
        </is>
      </c>
      <c r="E44" t="n">
        <v>88</v>
      </c>
      <c r="F44" t="inlineStr">
        <is>
          <t>Not in top-2 Week 1 depth-chart role</t>
        </is>
      </c>
    </row>
    <row r="45">
      <c r="A45" t="inlineStr">
        <is>
          <t>Quarterbacks (QB)</t>
        </is>
      </c>
      <c r="B45" t="inlineStr">
        <is>
          <t>QB</t>
        </is>
      </c>
      <c r="C45" t="inlineStr">
        <is>
          <t>Teddy Bridgewater</t>
        </is>
      </c>
      <c r="D45" t="inlineStr">
        <is>
          <t>DET</t>
        </is>
      </c>
      <c r="E45" t="n">
        <v>90</v>
      </c>
      <c r="F45" t="inlineStr">
        <is>
          <t>Not in top-2 Week 1 depth-chart role</t>
        </is>
      </c>
    </row>
    <row r="46">
      <c r="A46" t="inlineStr">
        <is>
          <t>Quarterbacks (QB)</t>
        </is>
      </c>
      <c r="B46" t="inlineStr">
        <is>
          <t>QB</t>
        </is>
      </c>
      <c r="C46" t="inlineStr">
        <is>
          <t>Kyron Drones</t>
        </is>
      </c>
      <c r="D46" t="inlineStr">
        <is>
          <t>GB</t>
        </is>
      </c>
      <c r="E46" t="n">
        <v>91</v>
      </c>
      <c r="F46" t="inlineStr">
        <is>
          <t>Not in top-2 Week 1 depth-chart role</t>
        </is>
      </c>
    </row>
    <row r="47">
      <c r="A47" t="inlineStr">
        <is>
          <t>Quarterbacks (QB)</t>
        </is>
      </c>
      <c r="B47" t="inlineStr">
        <is>
          <t>QB</t>
        </is>
      </c>
      <c r="C47" t="inlineStr">
        <is>
          <t>DJ Uiagalelei</t>
        </is>
      </c>
      <c r="D47" t="inlineStr">
        <is>
          <t>LAC</t>
        </is>
      </c>
      <c r="E47" t="n">
        <v>92</v>
      </c>
      <c r="F47" t="inlineStr">
        <is>
          <t>Not in top-2 Week 1 depth-chart role</t>
        </is>
      </c>
    </row>
    <row r="48">
      <c r="A48" t="inlineStr">
        <is>
          <t>Running Backs (RB)</t>
        </is>
      </c>
      <c r="B48" t="inlineStr">
        <is>
          <t>RB</t>
        </is>
      </c>
      <c r="C48" t="inlineStr">
        <is>
          <t>Josh Jacobs</t>
        </is>
      </c>
      <c r="D48" t="inlineStr">
        <is>
          <t>GB</t>
        </is>
      </c>
      <c r="E48" t="n">
        <v>11</v>
      </c>
      <c r="F48" t="inlineStr">
        <is>
          <t>Not in top-2 Week 1 depth-chart role</t>
        </is>
      </c>
    </row>
    <row r="49">
      <c r="A49" t="inlineStr">
        <is>
          <t>Running Backs (RB)</t>
        </is>
      </c>
      <c r="B49" t="inlineStr">
        <is>
          <t>RB</t>
        </is>
      </c>
      <c r="C49" t="inlineStr">
        <is>
          <t>James Conner</t>
        </is>
      </c>
      <c r="D49" t="inlineStr">
        <is>
          <t>ARI</t>
        </is>
      </c>
      <c r="E49" t="n">
        <v>33</v>
      </c>
      <c r="F49" t="inlineStr">
        <is>
          <t>Not in top-2 Week 1 depth-chart role</t>
        </is>
      </c>
    </row>
    <row r="50">
      <c r="A50" t="inlineStr">
        <is>
          <t>Running Backs (RB)</t>
        </is>
      </c>
      <c r="B50" t="inlineStr">
        <is>
          <t>RB</t>
        </is>
      </c>
      <c r="C50" t="inlineStr">
        <is>
          <t>Isiah Pacheco</t>
        </is>
      </c>
      <c r="D50" t="inlineStr">
        <is>
          <t>DET</t>
        </is>
      </c>
      <c r="E50" t="n">
        <v>36</v>
      </c>
      <c r="F50" t="inlineStr">
        <is>
          <t>Not in top-2 Week 1 depth-chart role</t>
        </is>
      </c>
    </row>
    <row r="51">
      <c r="A51" t="inlineStr">
        <is>
          <t>Running Backs (RB)</t>
        </is>
      </c>
      <c r="B51" t="inlineStr">
        <is>
          <t>RB</t>
        </is>
      </c>
      <c r="C51" t="inlineStr">
        <is>
          <t>Ollie Gordon II</t>
        </is>
      </c>
      <c r="D51" t="inlineStr">
        <is>
          <t>MIA</t>
        </is>
      </c>
      <c r="E51" t="n">
        <v>38</v>
      </c>
      <c r="F51" t="inlineStr">
        <is>
          <t>Not in top-2 Week 1 depth-chart role</t>
        </is>
      </c>
    </row>
    <row r="52">
      <c r="A52" t="inlineStr">
        <is>
          <t>Running Backs (RB)</t>
        </is>
      </c>
      <c r="B52" t="inlineStr">
        <is>
          <t>RB</t>
        </is>
      </c>
      <c r="C52" t="inlineStr">
        <is>
          <t>Kimani Vidal</t>
        </is>
      </c>
      <c r="D52" t="inlineStr">
        <is>
          <t>LAC</t>
        </is>
      </c>
      <c r="E52" t="n">
        <v>40</v>
      </c>
      <c r="F52" t="inlineStr">
        <is>
          <t>Not in top-2 Week 1 depth-chart role</t>
        </is>
      </c>
    </row>
    <row r="53">
      <c r="A53" t="inlineStr">
        <is>
          <t>Running Backs (RB)</t>
        </is>
      </c>
      <c r="B53" t="inlineStr">
        <is>
          <t>RB</t>
        </is>
      </c>
      <c r="C53" t="inlineStr">
        <is>
          <t>Sean Tucker</t>
        </is>
      </c>
      <c r="D53" t="inlineStr">
        <is>
          <t>TB</t>
        </is>
      </c>
      <c r="E53" t="n">
        <v>43</v>
      </c>
      <c r="F53" t="inlineStr">
        <is>
          <t>Not in top-2 Week 1 depth-chart role</t>
        </is>
      </c>
    </row>
    <row r="54">
      <c r="A54" t="inlineStr">
        <is>
          <t>Running Backs (RB)</t>
        </is>
      </c>
      <c r="B54" t="inlineStr">
        <is>
          <t>RB</t>
        </is>
      </c>
      <c r="C54" t="inlineStr">
        <is>
          <t>LeQuint Allen Jr.</t>
        </is>
      </c>
      <c r="D54" t="inlineStr">
        <is>
          <t>JAC</t>
        </is>
      </c>
      <c r="E54" t="n">
        <v>45</v>
      </c>
      <c r="F54" t="inlineStr">
        <is>
          <t>Not in top-2 Week 1 depth-chart role</t>
        </is>
      </c>
    </row>
    <row r="55">
      <c r="A55" t="inlineStr">
        <is>
          <t>Running Backs (RB)</t>
        </is>
      </c>
      <c r="B55" t="inlineStr">
        <is>
          <t>RB</t>
        </is>
      </c>
      <c r="C55" t="inlineStr">
        <is>
          <t>Devin Neal</t>
        </is>
      </c>
      <c r="D55" t="inlineStr">
        <is>
          <t>NO</t>
        </is>
      </c>
      <c r="E55" t="n">
        <v>50</v>
      </c>
      <c r="F55" t="inlineStr">
        <is>
          <t>Not in top-2 Week 1 depth-chart role</t>
        </is>
      </c>
    </row>
    <row r="56">
      <c r="A56" t="inlineStr">
        <is>
          <t>Running Backs (RB)</t>
        </is>
      </c>
      <c r="B56" t="inlineStr">
        <is>
          <t>RB</t>
        </is>
      </c>
      <c r="C56" t="inlineStr">
        <is>
          <t>Jawhar Jordan</t>
        </is>
      </c>
      <c r="D56" t="inlineStr">
        <is>
          <t>HOU</t>
        </is>
      </c>
      <c r="E56" t="n">
        <v>51</v>
      </c>
      <c r="F56" t="inlineStr">
        <is>
          <t>Not in top-2 Week 1 depth-chart role</t>
        </is>
      </c>
    </row>
    <row r="57">
      <c r="A57" t="inlineStr">
        <is>
          <t>Running Backs (RB)</t>
        </is>
      </c>
      <c r="B57" t="inlineStr">
        <is>
          <t>RB</t>
        </is>
      </c>
      <c r="C57" t="inlineStr">
        <is>
          <t>Kaytron Allen</t>
        </is>
      </c>
      <c r="D57" t="inlineStr">
        <is>
          <t>WAS</t>
        </is>
      </c>
      <c r="E57" t="n">
        <v>52</v>
      </c>
      <c r="F57" t="inlineStr">
        <is>
          <t>Not in top-2 Week 1 depth-chart role</t>
        </is>
      </c>
    </row>
    <row r="58">
      <c r="A58" t="inlineStr">
        <is>
          <t>Running Backs (RB)</t>
        </is>
      </c>
      <c r="B58" t="inlineStr">
        <is>
          <t>RB</t>
        </is>
      </c>
      <c r="C58" t="inlineStr">
        <is>
          <t>Ray Davis</t>
        </is>
      </c>
      <c r="D58" t="inlineStr">
        <is>
          <t>BUF</t>
        </is>
      </c>
      <c r="E58" t="n">
        <v>53</v>
      </c>
      <c r="F58" t="inlineStr">
        <is>
          <t>Not in top-2 Week 1 depth-chart role</t>
        </is>
      </c>
    </row>
    <row r="59">
      <c r="A59" t="inlineStr">
        <is>
          <t>Running Backs (RB)</t>
        </is>
      </c>
      <c r="B59" t="inlineStr">
        <is>
          <t>RB</t>
        </is>
      </c>
      <c r="C59" t="inlineStr">
        <is>
          <t>Nick Singleton</t>
        </is>
      </c>
      <c r="D59" t="inlineStr">
        <is>
          <t>TEN</t>
        </is>
      </c>
      <c r="E59" t="n">
        <v>55</v>
      </c>
      <c r="F59" t="inlineStr">
        <is>
          <t>Not in top-2 Week 1 depth-chart role</t>
        </is>
      </c>
    </row>
    <row r="60">
      <c r="A60" t="inlineStr">
        <is>
          <t>Running Backs (RB)</t>
        </is>
      </c>
      <c r="B60" t="inlineStr">
        <is>
          <t>RB</t>
        </is>
      </c>
      <c r="C60" t="inlineStr">
        <is>
          <t>Pierre Strong Jr.</t>
        </is>
      </c>
      <c r="D60" t="inlineStr">
        <is>
          <t>GB</t>
        </is>
      </c>
      <c r="E60" t="n">
        <v>56</v>
      </c>
      <c r="F60" t="inlineStr">
        <is>
          <t>Not in top-2 Week 1 depth-chart role</t>
        </is>
      </c>
    </row>
    <row r="61">
      <c r="A61" t="inlineStr">
        <is>
          <t>Running Backs (RB)</t>
        </is>
      </c>
      <c r="B61" t="inlineStr">
        <is>
          <t>RB</t>
        </is>
      </c>
      <c r="C61" t="inlineStr">
        <is>
          <t>DJ Giddens</t>
        </is>
      </c>
      <c r="D61" t="inlineStr">
        <is>
          <t>IND</t>
        </is>
      </c>
      <c r="E61" t="n">
        <v>57</v>
      </c>
      <c r="F61" t="inlineStr">
        <is>
          <t>Not in top-2 Week 1 depth-chart role</t>
        </is>
      </c>
    </row>
    <row r="62">
      <c r="A62" t="inlineStr">
        <is>
          <t>Running Backs (RB)</t>
        </is>
      </c>
      <c r="B62" t="inlineStr">
        <is>
          <t>RB</t>
        </is>
      </c>
      <c r="C62" t="inlineStr">
        <is>
          <t>Zavier Scott</t>
        </is>
      </c>
      <c r="D62" t="inlineStr">
        <is>
          <t>CHI</t>
        </is>
      </c>
      <c r="E62" t="n">
        <v>59</v>
      </c>
      <c r="F62" t="inlineStr">
        <is>
          <t>Not in top-2 Week 1 depth-chart role</t>
        </is>
      </c>
    </row>
    <row r="63">
      <c r="A63" t="inlineStr">
        <is>
          <t>Running Backs (RB)</t>
        </is>
      </c>
      <c r="B63" t="inlineStr">
        <is>
          <t>RB</t>
        </is>
      </c>
      <c r="C63" t="inlineStr">
        <is>
          <t>Audric Estime</t>
        </is>
      </c>
      <c r="D63" t="inlineStr">
        <is>
          <t>NO</t>
        </is>
      </c>
      <c r="E63" t="n">
        <v>61</v>
      </c>
      <c r="F63" t="inlineStr">
        <is>
          <t>Not in top-2 Week 1 depth-chart role</t>
        </is>
      </c>
    </row>
    <row r="64">
      <c r="A64" t="inlineStr">
        <is>
          <t>Running Backs (RB)</t>
        </is>
      </c>
      <c r="B64" t="inlineStr">
        <is>
          <t>RB</t>
        </is>
      </c>
      <c r="C64" t="inlineStr">
        <is>
          <t>Dare Ogunbowale</t>
        </is>
      </c>
      <c r="D64" t="inlineStr">
        <is>
          <t>LV</t>
        </is>
      </c>
      <c r="E64" t="n">
        <v>64</v>
      </c>
      <c r="F64" t="inlineStr">
        <is>
          <t>Not in top-2 Week 1 depth-chart role</t>
        </is>
      </c>
    </row>
    <row r="65">
      <c r="A65" t="inlineStr">
        <is>
          <t>Running Backs (RB)</t>
        </is>
      </c>
      <c r="B65" t="inlineStr">
        <is>
          <t>RB</t>
        </is>
      </c>
      <c r="C65" t="inlineStr">
        <is>
          <t>Damien Martinez</t>
        </is>
      </c>
      <c r="D65" t="inlineStr">
        <is>
          <t>GB</t>
        </is>
      </c>
      <c r="E65" t="n">
        <v>65</v>
      </c>
      <c r="F65" t="inlineStr">
        <is>
          <t>Not in top-2 Week 1 depth-chart role</t>
        </is>
      </c>
    </row>
    <row r="66">
      <c r="A66" t="inlineStr">
        <is>
          <t>Running Backs (RB)</t>
        </is>
      </c>
      <c r="B66" t="inlineStr">
        <is>
          <t>RB</t>
        </is>
      </c>
      <c r="C66" t="inlineStr">
        <is>
          <t>Raheim Sanders</t>
        </is>
      </c>
      <c r="D66" t="inlineStr">
        <is>
          <t>CLE</t>
        </is>
      </c>
      <c r="E66" t="n">
        <v>66</v>
      </c>
      <c r="F66" t="inlineStr">
        <is>
          <t>Not in top-2 Week 1 depth-chart role</t>
        </is>
      </c>
    </row>
    <row r="67">
      <c r="A67" t="inlineStr">
        <is>
          <t>Running Backs (RB)</t>
        </is>
      </c>
      <c r="B67" t="inlineStr">
        <is>
          <t>RB</t>
        </is>
      </c>
      <c r="C67" t="inlineStr">
        <is>
          <t>Isaiah Davis</t>
        </is>
      </c>
      <c r="D67" t="inlineStr">
        <is>
          <t>NYJ</t>
        </is>
      </c>
      <c r="E67" t="n">
        <v>67</v>
      </c>
      <c r="F67" t="inlineStr">
        <is>
          <t>Not in top-2 Week 1 depth-chart role</t>
        </is>
      </c>
    </row>
    <row r="68">
      <c r="A68" t="inlineStr">
        <is>
          <t>Running Backs (RB)</t>
        </is>
      </c>
      <c r="B68" t="inlineStr">
        <is>
          <t>RB</t>
        </is>
      </c>
      <c r="C68" t="inlineStr">
        <is>
          <t>Dylan Laube</t>
        </is>
      </c>
      <c r="D68" t="inlineStr">
        <is>
          <t>LV</t>
        </is>
      </c>
      <c r="E68" t="n">
        <v>68</v>
      </c>
      <c r="F68" t="inlineStr">
        <is>
          <t>Not in top-2 Week 1 depth-chart role</t>
        </is>
      </c>
    </row>
    <row r="69">
      <c r="A69" t="inlineStr">
        <is>
          <t>Running Backs (RB)</t>
        </is>
      </c>
      <c r="B69" t="inlineStr">
        <is>
          <t>RB</t>
        </is>
      </c>
      <c r="C69" t="inlineStr">
        <is>
          <t>Ameer Abdullah</t>
        </is>
      </c>
      <c r="D69" t="inlineStr">
        <is>
          <t>JAC</t>
        </is>
      </c>
      <c r="E69" t="n">
        <v>69</v>
      </c>
      <c r="F69" t="inlineStr">
        <is>
          <t>Not in top-2 Week 1 depth-chart role</t>
        </is>
      </c>
    </row>
    <row r="70">
      <c r="A70" t="inlineStr">
        <is>
          <t>Running Backs (RB)</t>
        </is>
      </c>
      <c r="B70" t="inlineStr">
        <is>
          <t>RB</t>
        </is>
      </c>
      <c r="C70" t="inlineStr">
        <is>
          <t>Trey Benson</t>
        </is>
      </c>
      <c r="D70" t="inlineStr">
        <is>
          <t>ARI</t>
        </is>
      </c>
      <c r="E70" t="n">
        <v>70</v>
      </c>
      <c r="F70" t="inlineStr">
        <is>
          <t>Not in top-2 Week 1 depth-chart role</t>
        </is>
      </c>
    </row>
    <row r="71">
      <c r="A71" t="inlineStr">
        <is>
          <t>Running Backs (RB)</t>
        </is>
      </c>
      <c r="B71" t="inlineStr">
        <is>
          <t>RB</t>
        </is>
      </c>
      <c r="C71" t="inlineStr">
        <is>
          <t>Kaleb Johnson</t>
        </is>
      </c>
      <c r="D71" t="inlineStr">
        <is>
          <t>GB</t>
        </is>
      </c>
      <c r="E71" t="n">
        <v>71</v>
      </c>
      <c r="F71" t="inlineStr">
        <is>
          <t>Not in top-2 Week 1 depth-chart role</t>
        </is>
      </c>
    </row>
    <row r="72">
      <c r="A72" t="inlineStr">
        <is>
          <t>Running Backs (RB)</t>
        </is>
      </c>
      <c r="B72" t="inlineStr">
        <is>
          <t>RB</t>
        </is>
      </c>
      <c r="C72" t="inlineStr">
        <is>
          <t>Kendre Miller</t>
        </is>
      </c>
      <c r="D72" t="inlineStr">
        <is>
          <t>NO</t>
        </is>
      </c>
      <c r="E72" t="n">
        <v>72</v>
      </c>
      <c r="F72" t="inlineStr">
        <is>
          <t>Not in top-2 Week 1 depth-chart role</t>
        </is>
      </c>
    </row>
    <row r="73">
      <c r="A73" t="inlineStr">
        <is>
          <t>Running Backs (RB)</t>
        </is>
      </c>
      <c r="B73" t="inlineStr">
        <is>
          <t>RB</t>
        </is>
      </c>
      <c r="C73" t="inlineStr">
        <is>
          <t>Roschon Johnson</t>
        </is>
      </c>
      <c r="D73" t="inlineStr">
        <is>
          <t>CHI</t>
        </is>
      </c>
      <c r="E73" t="n">
        <v>73</v>
      </c>
      <c r="F73" t="inlineStr">
        <is>
          <t>Not in top-2 Week 1 depth-chart role</t>
        </is>
      </c>
    </row>
    <row r="74">
      <c r="A74" t="inlineStr">
        <is>
          <t>Running Backs (RB)</t>
        </is>
      </c>
      <c r="B74" t="inlineStr">
        <is>
          <t>RB</t>
        </is>
      </c>
      <c r="C74" t="inlineStr">
        <is>
          <t>Trevor Etienne</t>
        </is>
      </c>
      <c r="D74" t="inlineStr">
        <is>
          <t>CAR</t>
        </is>
      </c>
      <c r="E74" t="n">
        <v>74</v>
      </c>
      <c r="F74" t="inlineStr">
        <is>
          <t>Not in top-2 Week 1 depth-chart role</t>
        </is>
      </c>
    </row>
    <row r="75">
      <c r="A75" t="inlineStr">
        <is>
          <t>Running Backs (RB)</t>
        </is>
      </c>
      <c r="B75" t="inlineStr">
        <is>
          <t>RB</t>
        </is>
      </c>
      <c r="C75" t="inlineStr">
        <is>
          <t>Michael Carter</t>
        </is>
      </c>
      <c r="D75" t="inlineStr">
        <is>
          <t>TEN</t>
        </is>
      </c>
      <c r="E75" t="n">
        <v>75</v>
      </c>
      <c r="F75" t="inlineStr">
        <is>
          <t>Not in top-2 Week 1 depth-chart role</t>
        </is>
      </c>
    </row>
    <row r="76">
      <c r="A76" t="inlineStr">
        <is>
          <t>Running Backs (RB)</t>
        </is>
      </c>
      <c r="B76" t="inlineStr">
        <is>
          <t>RB</t>
        </is>
      </c>
      <c r="C76" t="inlineStr">
        <is>
          <t>Jeremy McNichols</t>
        </is>
      </c>
      <c r="D76" t="inlineStr">
        <is>
          <t>WAS</t>
        </is>
      </c>
      <c r="E76" t="n">
        <v>76</v>
      </c>
      <c r="F76" t="inlineStr">
        <is>
          <t>Not in top-2 Week 1 depth-chart role</t>
        </is>
      </c>
    </row>
    <row r="77">
      <c r="A77" t="inlineStr">
        <is>
          <t>Running Backs (RB)</t>
        </is>
      </c>
      <c r="B77" t="inlineStr">
        <is>
          <t>RB</t>
        </is>
      </c>
      <c r="C77" t="inlineStr">
        <is>
          <t>Rasheen Ali</t>
        </is>
      </c>
      <c r="D77" t="inlineStr">
        <is>
          <t>BAL</t>
        </is>
      </c>
      <c r="E77" t="n">
        <v>77</v>
      </c>
      <c r="F77" t="inlineStr">
        <is>
          <t>Not in top-2 Week 1 depth-chart role</t>
        </is>
      </c>
    </row>
    <row r="78">
      <c r="A78" t="inlineStr">
        <is>
          <t>Running Backs (RB)</t>
        </is>
      </c>
      <c r="B78" t="inlineStr">
        <is>
          <t>RB</t>
        </is>
      </c>
      <c r="C78" t="inlineStr">
        <is>
          <t>Alec Ingold</t>
        </is>
      </c>
      <c r="D78" t="inlineStr">
        <is>
          <t>LAC</t>
        </is>
      </c>
      <c r="E78" t="n">
        <v>79</v>
      </c>
      <c r="F78" t="inlineStr">
        <is>
          <t>Not in top-2 Week 1 depth-chart role</t>
        </is>
      </c>
    </row>
    <row r="79">
      <c r="A79" t="inlineStr">
        <is>
          <t>Running Backs (RB)</t>
        </is>
      </c>
      <c r="B79" t="inlineStr">
        <is>
          <t>RB</t>
        </is>
      </c>
      <c r="C79" t="inlineStr">
        <is>
          <t>Ty Chandler</t>
        </is>
      </c>
      <c r="D79" t="inlineStr">
        <is>
          <t>NO</t>
        </is>
      </c>
      <c r="E79" t="n">
        <v>80</v>
      </c>
      <c r="F79" t="inlineStr">
        <is>
          <t>Not in top-2 Week 1 depth-chart role</t>
        </is>
      </c>
    </row>
    <row r="80">
      <c r="A80" t="inlineStr">
        <is>
          <t>Running Backs (RB)</t>
        </is>
      </c>
      <c r="B80" t="inlineStr">
        <is>
          <t>RB</t>
        </is>
      </c>
      <c r="C80" t="inlineStr">
        <is>
          <t>Jaret Patterson</t>
        </is>
      </c>
      <c r="D80" t="inlineStr">
        <is>
          <t>LAC</t>
        </is>
      </c>
      <c r="E80" t="n">
        <v>81</v>
      </c>
      <c r="F80" t="inlineStr">
        <is>
          <t>Not in top-2 Week 1 depth-chart role</t>
        </is>
      </c>
    </row>
    <row r="81">
      <c r="A81" t="inlineStr">
        <is>
          <t>Running Backs (RB)</t>
        </is>
      </c>
      <c r="B81" t="inlineStr">
        <is>
          <t>RB</t>
        </is>
      </c>
      <c r="C81" t="inlineStr">
        <is>
          <t>Tahj Brooks</t>
        </is>
      </c>
      <c r="D81" t="inlineStr">
        <is>
          <t>CIN</t>
        </is>
      </c>
      <c r="E81" t="n">
        <v>82</v>
      </c>
      <c r="F81" t="inlineStr">
        <is>
          <t>Not in top-2 Week 1 depth-chart role</t>
        </is>
      </c>
    </row>
    <row r="82">
      <c r="A82" t="inlineStr">
        <is>
          <t>Running Backs (RB)</t>
        </is>
      </c>
      <c r="B82" t="inlineStr">
        <is>
          <t>RB</t>
        </is>
      </c>
      <c r="C82" t="inlineStr">
        <is>
          <t>Will Shipley</t>
        </is>
      </c>
      <c r="D82" t="inlineStr">
        <is>
          <t>PHI</t>
        </is>
      </c>
      <c r="E82" t="n">
        <v>83</v>
      </c>
      <c r="F82" t="inlineStr">
        <is>
          <t>Not in top-2 Week 1 depth-chart role</t>
        </is>
      </c>
    </row>
    <row r="83">
      <c r="A83" t="inlineStr">
        <is>
          <t>Running Backs (RB)</t>
        </is>
      </c>
      <c r="B83" t="inlineStr">
        <is>
          <t>RB</t>
        </is>
      </c>
      <c r="C83" t="inlineStr">
        <is>
          <t>Salvon Ahmed</t>
        </is>
      </c>
      <c r="D83" t="inlineStr">
        <is>
          <t>CHI</t>
        </is>
      </c>
      <c r="E83" t="n">
        <v>84</v>
      </c>
      <c r="F83" t="inlineStr">
        <is>
          <t>Not in top-2 Week 1 depth-chart role</t>
        </is>
      </c>
    </row>
    <row r="84">
      <c r="A84" t="inlineStr">
        <is>
          <t>Running Backs (RB)</t>
        </is>
      </c>
      <c r="B84" t="inlineStr">
        <is>
          <t>RB</t>
        </is>
      </c>
      <c r="C84" t="inlineStr">
        <is>
          <t>Max Bredeson</t>
        </is>
      </c>
      <c r="D84" t="inlineStr">
        <is>
          <t>MIN</t>
        </is>
      </c>
      <c r="E84" t="n">
        <v>85</v>
      </c>
      <c r="F84" t="inlineStr">
        <is>
          <t>Not in top-2 Week 1 depth-chart role</t>
        </is>
      </c>
    </row>
    <row r="85">
      <c r="A85" t="inlineStr">
        <is>
          <t>Running Backs (RB)</t>
        </is>
      </c>
      <c r="B85" t="inlineStr">
        <is>
          <t>RB</t>
        </is>
      </c>
      <c r="C85" t="inlineStr">
        <is>
          <t>Brittain Brown</t>
        </is>
      </c>
      <c r="D85" t="inlineStr">
        <is>
          <t>CHI</t>
        </is>
      </c>
      <c r="E85" t="n">
        <v>86</v>
      </c>
      <c r="F85" t="inlineStr">
        <is>
          <t>Not in top-2 Week 1 depth-chart role</t>
        </is>
      </c>
    </row>
    <row r="86">
      <c r="A86" t="inlineStr">
        <is>
          <t>Running Backs (RB)</t>
        </is>
      </c>
      <c r="B86" t="inlineStr">
        <is>
          <t>RB</t>
        </is>
      </c>
      <c r="C86" t="inlineStr">
        <is>
          <t>Jamal Haynes</t>
        </is>
      </c>
      <c r="D86" t="inlineStr">
        <is>
          <t>CIN</t>
        </is>
      </c>
      <c r="E86" t="n">
        <v>87</v>
      </c>
      <c r="F86" t="inlineStr">
        <is>
          <t>Not in top-2 Week 1 depth-chart role</t>
        </is>
      </c>
    </row>
    <row r="87">
      <c r="A87" t="inlineStr">
        <is>
          <t>Running Backs (RB)</t>
        </is>
      </c>
      <c r="B87" t="inlineStr">
        <is>
          <t>RB</t>
        </is>
      </c>
      <c r="C87" t="inlineStr">
        <is>
          <t>Travis Homer</t>
        </is>
      </c>
      <c r="D87" t="inlineStr">
        <is>
          <t>PIT</t>
        </is>
      </c>
      <c r="E87" t="n">
        <v>88</v>
      </c>
      <c r="F87" t="inlineStr">
        <is>
          <t>Not in top-2 Week 1 depth-chart role</t>
        </is>
      </c>
    </row>
    <row r="88">
      <c r="A88" t="inlineStr">
        <is>
          <t>Running Backs (RB)</t>
        </is>
      </c>
      <c r="B88" t="inlineStr">
        <is>
          <t>RB</t>
        </is>
      </c>
      <c r="C88" t="inlineStr">
        <is>
          <t>Elijah Tau-Tolliver</t>
        </is>
      </c>
      <c r="D88" t="inlineStr">
        <is>
          <t>BAL</t>
        </is>
      </c>
      <c r="E88" t="n">
        <v>89</v>
      </c>
      <c r="F88" t="inlineStr">
        <is>
          <t>Not in top-2 Week 1 depth-chart role</t>
        </is>
      </c>
    </row>
    <row r="89">
      <c r="A89" t="inlineStr">
        <is>
          <t>Running Backs (RB)</t>
        </is>
      </c>
      <c r="B89" t="inlineStr">
        <is>
          <t>RB</t>
        </is>
      </c>
      <c r="C89" t="inlineStr">
        <is>
          <t>Ulysses Bentley IV</t>
        </is>
      </c>
      <c r="D89" t="inlineStr">
        <is>
          <t>IND</t>
        </is>
      </c>
      <c r="E89" t="n">
        <v>90</v>
      </c>
      <c r="F89" t="inlineStr">
        <is>
          <t>Not in top-2 Week 1 depth-chart role</t>
        </is>
      </c>
    </row>
    <row r="90">
      <c r="A90" t="inlineStr">
        <is>
          <t>Running Backs (RB)</t>
        </is>
      </c>
      <c r="B90" t="inlineStr">
        <is>
          <t>RB</t>
        </is>
      </c>
      <c r="C90" t="inlineStr">
        <is>
          <t>Roman Hemby</t>
        </is>
      </c>
      <c r="D90" t="inlineStr">
        <is>
          <t>LV</t>
        </is>
      </c>
      <c r="E90" t="n">
        <v>91</v>
      </c>
      <c r="F90" t="inlineStr">
        <is>
          <t>Not in top-2 Week 1 depth-chart role</t>
        </is>
      </c>
    </row>
    <row r="91">
      <c r="A91" t="inlineStr">
        <is>
          <t>Running Backs (RB)</t>
        </is>
      </c>
      <c r="B91" t="inlineStr">
        <is>
          <t>RB</t>
        </is>
      </c>
      <c r="C91" t="inlineStr">
        <is>
          <t>Gregory Desrosiers</t>
        </is>
      </c>
      <c r="D91" t="inlineStr">
        <is>
          <t>LAC</t>
        </is>
      </c>
      <c r="E91" t="n">
        <v>92</v>
      </c>
      <c r="F91" t="inlineStr">
        <is>
          <t>Not in top-2 Week 1 depth-chart role</t>
        </is>
      </c>
    </row>
    <row r="92">
      <c r="A92" t="inlineStr">
        <is>
          <t>Running Backs (RB)</t>
        </is>
      </c>
      <c r="B92" t="inlineStr">
        <is>
          <t>RB</t>
        </is>
      </c>
      <c r="C92" t="inlineStr">
        <is>
          <t>Lew Nichols</t>
        </is>
      </c>
      <c r="D92" t="inlineStr">
        <is>
          <t>PIT</t>
        </is>
      </c>
      <c r="E92" t="n">
        <v>93</v>
      </c>
      <c r="F92" t="inlineStr">
        <is>
          <t>Not in top-2 Week 1 depth-chart role</t>
        </is>
      </c>
    </row>
    <row r="93">
      <c r="A93" t="inlineStr">
        <is>
          <t>Running Backs (RB)</t>
        </is>
      </c>
      <c r="B93" t="inlineStr">
        <is>
          <t>RB</t>
        </is>
      </c>
      <c r="C93" t="inlineStr">
        <is>
          <t>Ian Wheeler</t>
        </is>
      </c>
      <c r="D93" t="inlineStr">
        <is>
          <t>BUF</t>
        </is>
      </c>
      <c r="E93" t="n">
        <v>94</v>
      </c>
      <c r="F93" t="inlineStr">
        <is>
          <t>Not in top-2 Week 1 depth-chart role</t>
        </is>
      </c>
    </row>
    <row r="94">
      <c r="A94" t="inlineStr">
        <is>
          <t>Running Backs (RB)</t>
        </is>
      </c>
      <c r="B94" t="inlineStr">
        <is>
          <t>RB</t>
        </is>
      </c>
      <c r="C94" t="inlineStr">
        <is>
          <t>Jackson Acker</t>
        </is>
      </c>
      <c r="D94" t="inlineStr">
        <is>
          <t>BUF</t>
        </is>
      </c>
      <c r="E94" t="n">
        <v>95</v>
      </c>
      <c r="F94" t="inlineStr">
        <is>
          <t>Not in top-2 Week 1 depth-chart role</t>
        </is>
      </c>
    </row>
    <row r="95">
      <c r="A95" t="inlineStr">
        <is>
          <t>Running Backs (RB)</t>
        </is>
      </c>
      <c r="B95" t="inlineStr">
        <is>
          <t>RB</t>
        </is>
      </c>
      <c r="C95" t="inlineStr">
        <is>
          <t>Chris Collier</t>
        </is>
      </c>
      <c r="D95" t="inlineStr">
        <is>
          <t>LV</t>
        </is>
      </c>
      <c r="E95" t="n">
        <v>96</v>
      </c>
      <c r="F95" t="inlineStr">
        <is>
          <t>Not in top-2 Week 1 depth-chart role</t>
        </is>
      </c>
    </row>
    <row r="96">
      <c r="A96" t="inlineStr">
        <is>
          <t>Running Backs (RB)</t>
        </is>
      </c>
      <c r="B96" t="inlineStr">
        <is>
          <t>RB</t>
        </is>
      </c>
      <c r="C96" t="inlineStr">
        <is>
          <t>Kalel Mullings</t>
        </is>
      </c>
      <c r="D96" t="inlineStr">
        <is>
          <t>TEN</t>
        </is>
      </c>
      <c r="E96" t="n">
        <v>97</v>
      </c>
      <c r="F96" t="inlineStr">
        <is>
          <t>Not in top-2 Week 1 depth-chart role</t>
        </is>
      </c>
    </row>
    <row r="97">
      <c r="A97" t="inlineStr">
        <is>
          <t>Running Backs (RB)</t>
        </is>
      </c>
      <c r="B97" t="inlineStr">
        <is>
          <t>RB</t>
        </is>
      </c>
      <c r="C97" t="inlineStr">
        <is>
          <t>Bam Knight</t>
        </is>
      </c>
      <c r="D97" t="inlineStr">
        <is>
          <t>ARI</t>
        </is>
      </c>
      <c r="E97" t="n">
        <v>98</v>
      </c>
      <c r="F97" t="inlineStr">
        <is>
          <t>Not in top-2 Week 1 depth-chart role</t>
        </is>
      </c>
    </row>
    <row r="98">
      <c r="A98" t="inlineStr">
        <is>
          <t>Running Backs (RB)</t>
        </is>
      </c>
      <c r="B98" t="inlineStr">
        <is>
          <t>RB</t>
        </is>
      </c>
      <c r="C98" t="inlineStr">
        <is>
          <t>Roydell Williams</t>
        </is>
      </c>
      <c r="D98" t="inlineStr">
        <is>
          <t>DET</t>
        </is>
      </c>
      <c r="E98" t="n">
        <v>99</v>
      </c>
      <c r="F98" t="inlineStr">
        <is>
          <t>Not in top-2 Week 1 depth-chart role</t>
        </is>
      </c>
    </row>
    <row r="99">
      <c r="A99" t="inlineStr">
        <is>
          <t>Running Backs (RB)</t>
        </is>
      </c>
      <c r="B99" t="inlineStr">
        <is>
          <t>RB</t>
        </is>
      </c>
      <c r="C99" t="inlineStr">
        <is>
          <t>Davon Booth</t>
        </is>
      </c>
      <c r="D99" t="inlineStr">
        <is>
          <t>IND</t>
        </is>
      </c>
      <c r="E99" t="n">
        <v>100</v>
      </c>
      <c r="F99" t="inlineStr">
        <is>
          <t>Not in top-2 Week 1 depth-chart role</t>
        </is>
      </c>
    </row>
    <row r="100">
      <c r="A100" t="inlineStr">
        <is>
          <t>Running Backs (RB)</t>
        </is>
      </c>
      <c r="B100" t="inlineStr">
        <is>
          <t>RB</t>
        </is>
      </c>
      <c r="C100" t="inlineStr">
        <is>
          <t>Jordan Mims</t>
        </is>
      </c>
      <c r="D100" t="inlineStr">
        <is>
          <t>PHI</t>
        </is>
      </c>
      <c r="E100" t="n">
        <v>101</v>
      </c>
      <c r="F100" t="inlineStr">
        <is>
          <t>Not in top-2 Week 1 depth-chart role</t>
        </is>
      </c>
    </row>
    <row r="101">
      <c r="A101" t="inlineStr">
        <is>
          <t>Running Backs (RB)</t>
        </is>
      </c>
      <c r="B101" t="inlineStr">
        <is>
          <t>RB</t>
        </is>
      </c>
      <c r="C101" t="inlineStr">
        <is>
          <t>J'Mari Taylor</t>
        </is>
      </c>
      <c r="D101" t="inlineStr">
        <is>
          <t>JAC</t>
        </is>
      </c>
      <c r="E101" t="n">
        <v>102</v>
      </c>
      <c r="F101" t="inlineStr">
        <is>
          <t>Not in top-2 Week 1 depth-chart role</t>
        </is>
      </c>
    </row>
    <row r="102">
      <c r="A102" t="inlineStr">
        <is>
          <t>Running Backs (RB)</t>
        </is>
      </c>
      <c r="B102" t="inlineStr">
        <is>
          <t>RB</t>
        </is>
      </c>
      <c r="C102" t="inlineStr">
        <is>
          <t>Jaden Nixon</t>
        </is>
      </c>
      <c r="D102" t="inlineStr">
        <is>
          <t>GB</t>
        </is>
      </c>
      <c r="E102" t="n">
        <v>103</v>
      </c>
      <c r="F102" t="inlineStr">
        <is>
          <t>Not in top-2 Week 1 depth-chart role</t>
        </is>
      </c>
    </row>
    <row r="103">
      <c r="A103" t="inlineStr">
        <is>
          <t>Running Backs (RB)</t>
        </is>
      </c>
      <c r="B103" t="inlineStr">
        <is>
          <t>RB</t>
        </is>
      </c>
      <c r="C103" t="inlineStr">
        <is>
          <t>Jabari Small</t>
        </is>
      </c>
      <c r="D103" t="inlineStr">
        <is>
          <t>DET</t>
        </is>
      </c>
      <c r="E103" t="n">
        <v>104</v>
      </c>
      <c r="F103" t="inlineStr">
        <is>
          <t>Not in top-2 Week 1 depth-chart role</t>
        </is>
      </c>
    </row>
    <row r="104">
      <c r="A104" t="inlineStr">
        <is>
          <t>Running Backs (RB)</t>
        </is>
      </c>
      <c r="B104" t="inlineStr">
        <is>
          <t>RB</t>
        </is>
      </c>
      <c r="C104" t="inlineStr">
        <is>
          <t>Carson Steele</t>
        </is>
      </c>
      <c r="D104" t="inlineStr">
        <is>
          <t>PHI</t>
        </is>
      </c>
      <c r="E104" t="n">
        <v>105</v>
      </c>
      <c r="F104" t="inlineStr">
        <is>
          <t>Not in top-2 Week 1 depth-chart role</t>
        </is>
      </c>
    </row>
    <row r="105">
      <c r="A105" t="inlineStr">
        <is>
          <t>Running Backs (RB)</t>
        </is>
      </c>
      <c r="B105" t="inlineStr">
        <is>
          <t>RB</t>
        </is>
      </c>
      <c r="C105" t="inlineStr">
        <is>
          <t>Kendall Milton</t>
        </is>
      </c>
      <c r="D105" t="inlineStr">
        <is>
          <t>CIN</t>
        </is>
      </c>
      <c r="E105" t="n">
        <v>106</v>
      </c>
      <c r="F105" t="inlineStr">
        <is>
          <t>Not in top-2 Week 1 depth-chart role</t>
        </is>
      </c>
    </row>
    <row r="106">
      <c r="A106" t="inlineStr">
        <is>
          <t>Running Backs (RB)</t>
        </is>
      </c>
      <c r="B106" t="inlineStr">
        <is>
          <t>RB</t>
        </is>
      </c>
      <c r="C106" t="inlineStr">
        <is>
          <t>Kadarius Calloway</t>
        </is>
      </c>
      <c r="D106" t="inlineStr">
        <is>
          <t>TB</t>
        </is>
      </c>
      <c r="E106" t="n">
        <v>107</v>
      </c>
      <c r="F106" t="inlineStr">
        <is>
          <t>Not in top-2 Week 1 depth-chart role</t>
        </is>
      </c>
    </row>
    <row r="107">
      <c r="A107" t="inlineStr">
        <is>
          <t>Running Backs (RB)</t>
        </is>
      </c>
      <c r="B107" t="inlineStr">
        <is>
          <t>RB</t>
        </is>
      </c>
      <c r="C107" t="inlineStr">
        <is>
          <t>DeeJay Dallas</t>
        </is>
      </c>
      <c r="D107" t="inlineStr">
        <is>
          <t>MIN</t>
        </is>
      </c>
      <c r="E107" t="n">
        <v>108</v>
      </c>
      <c r="F107" t="inlineStr">
        <is>
          <t>Not in top-2 Week 1 depth-chart role</t>
        </is>
      </c>
    </row>
    <row r="108">
      <c r="A108" t="inlineStr">
        <is>
          <t>Running Backs (RB)</t>
        </is>
      </c>
      <c r="B108" t="inlineStr">
        <is>
          <t>RB</t>
        </is>
      </c>
      <c r="C108" t="inlineStr">
        <is>
          <t>Noah Whittington</t>
        </is>
      </c>
      <c r="D108" t="inlineStr">
        <is>
          <t>HOU</t>
        </is>
      </c>
      <c r="E108" t="n">
        <v>109</v>
      </c>
      <c r="F108" t="inlineStr">
        <is>
          <t>Not in top-2 Week 1 depth-chart role</t>
        </is>
      </c>
    </row>
    <row r="109">
      <c r="A109" t="inlineStr">
        <is>
          <t>Running Backs (RB)</t>
        </is>
      </c>
      <c r="B109" t="inlineStr">
        <is>
          <t>RB</t>
        </is>
      </c>
      <c r="C109" t="inlineStr">
        <is>
          <t>DJ Herman</t>
        </is>
      </c>
      <c r="D109" t="inlineStr">
        <is>
          <t>MIA</t>
        </is>
      </c>
      <c r="E109" t="n">
        <v>110</v>
      </c>
      <c r="F109" t="inlineStr">
        <is>
          <t>Not in top-2 Week 1 depth-chart role</t>
        </is>
      </c>
    </row>
    <row r="110">
      <c r="A110" t="inlineStr">
        <is>
          <t>Running Backs (RB)</t>
        </is>
      </c>
      <c r="B110" t="inlineStr">
        <is>
          <t>RB</t>
        </is>
      </c>
      <c r="C110" t="inlineStr">
        <is>
          <t>Chip Trayanum</t>
        </is>
      </c>
      <c r="D110" t="inlineStr">
        <is>
          <t>NYJ</t>
        </is>
      </c>
      <c r="E110" t="n">
        <v>111</v>
      </c>
      <c r="F110" t="inlineStr">
        <is>
          <t>Not in top-2 Week 1 depth-chart role</t>
        </is>
      </c>
    </row>
    <row r="111">
      <c r="A111" t="inlineStr">
        <is>
          <t>Running Backs (RB)</t>
        </is>
      </c>
      <c r="B111" t="inlineStr">
        <is>
          <t>RB</t>
        </is>
      </c>
      <c r="C111" t="inlineStr">
        <is>
          <t>AJ Dillon</t>
        </is>
      </c>
      <c r="D111" t="inlineStr">
        <is>
          <t>CAR</t>
        </is>
      </c>
      <c r="E111" t="n">
        <v>112</v>
      </c>
      <c r="F111" t="inlineStr">
        <is>
          <t>Not in top-2 Week 1 depth-chart role</t>
        </is>
      </c>
    </row>
    <row r="112">
      <c r="A112" t="inlineStr">
        <is>
          <t>Running Backs (RB)</t>
        </is>
      </c>
      <c r="B112" t="inlineStr">
        <is>
          <t>RB</t>
        </is>
      </c>
      <c r="C112" t="inlineStr">
        <is>
          <t>Dontae McMillan</t>
        </is>
      </c>
      <c r="D112" t="inlineStr">
        <is>
          <t>BAL</t>
        </is>
      </c>
      <c r="E112" t="n">
        <v>113</v>
      </c>
      <c r="F112" t="inlineStr">
        <is>
          <t>Not in top-2 Week 1 depth-chart role</t>
        </is>
      </c>
    </row>
    <row r="113">
      <c r="A113" t="inlineStr">
        <is>
          <t>Running Backs (RB)</t>
        </is>
      </c>
      <c r="B113" t="inlineStr">
        <is>
          <t>RB</t>
        </is>
      </c>
      <c r="C113" t="inlineStr">
        <is>
          <t>Max Hurleman</t>
        </is>
      </c>
      <c r="D113" t="inlineStr">
        <is>
          <t>PIT</t>
        </is>
      </c>
      <c r="E113" t="n">
        <v>114</v>
      </c>
      <c r="F113" t="inlineStr">
        <is>
          <t>Not in top-2 Week 1 depth-chart role</t>
        </is>
      </c>
    </row>
    <row r="114">
      <c r="A114" t="inlineStr">
        <is>
          <t>Running Backs (RB)</t>
        </is>
      </c>
      <c r="B114" t="inlineStr">
        <is>
          <t>RB</t>
        </is>
      </c>
      <c r="C114" t="inlineStr">
        <is>
          <t>Jacob Saylors</t>
        </is>
      </c>
      <c r="D114" t="inlineStr">
        <is>
          <t>DET</t>
        </is>
      </c>
      <c r="E114" t="n">
        <v>115</v>
      </c>
      <c r="F114" t="inlineStr">
        <is>
          <t>Not in top-2 Week 1 depth-chart role</t>
        </is>
      </c>
    </row>
    <row r="115">
      <c r="A115" t="inlineStr">
        <is>
          <t>Running Backs (RB)</t>
        </is>
      </c>
      <c r="B115" t="inlineStr">
        <is>
          <t>RB</t>
        </is>
      </c>
      <c r="C115" t="inlineStr">
        <is>
          <t>Kene Nwangwu</t>
        </is>
      </c>
      <c r="D115" t="inlineStr">
        <is>
          <t>NYJ</t>
        </is>
      </c>
      <c r="E115" t="n">
        <v>116</v>
      </c>
      <c r="F115" t="inlineStr">
        <is>
          <t>Not in top-2 Week 1 depth-chart role</t>
        </is>
      </c>
    </row>
    <row r="116">
      <c r="A116" t="inlineStr">
        <is>
          <t>Running Backs (RB)</t>
        </is>
      </c>
      <c r="B116" t="inlineStr">
        <is>
          <t>RB</t>
        </is>
      </c>
      <c r="C116" t="inlineStr">
        <is>
          <t>Amar Johnson</t>
        </is>
      </c>
      <c r="D116" t="inlineStr">
        <is>
          <t>LAC</t>
        </is>
      </c>
      <c r="E116" t="n">
        <v>117</v>
      </c>
      <c r="F116" t="inlineStr">
        <is>
          <t>Not in top-2 Week 1 depth-chart role</t>
        </is>
      </c>
    </row>
    <row r="117">
      <c r="A117" t="inlineStr">
        <is>
          <t>Running Backs (RB)</t>
        </is>
      </c>
      <c r="B117" t="inlineStr">
        <is>
          <t>RB</t>
        </is>
      </c>
      <c r="C117" t="inlineStr">
        <is>
          <t>CJ Donaldson</t>
        </is>
      </c>
      <c r="D117" t="inlineStr">
        <is>
          <t>NO</t>
        </is>
      </c>
      <c r="E117" t="n">
        <v>118</v>
      </c>
      <c r="F117" t="inlineStr">
        <is>
          <t>Not in top-2 Week 1 depth-chart role</t>
        </is>
      </c>
    </row>
    <row r="118">
      <c r="A118" t="inlineStr">
        <is>
          <t>Running Backs (RB)</t>
        </is>
      </c>
      <c r="B118" t="inlineStr">
        <is>
          <t>RB</t>
        </is>
      </c>
      <c r="C118" t="inlineStr">
        <is>
          <t>Kye Robichaux</t>
        </is>
      </c>
      <c r="D118" t="inlineStr">
        <is>
          <t>DET</t>
        </is>
      </c>
      <c r="E118" t="n">
        <v>119</v>
      </c>
      <c r="F118" t="inlineStr">
        <is>
          <t>Not in top-2 Week 1 depth-chart role</t>
        </is>
      </c>
    </row>
    <row r="119">
      <c r="A119" t="inlineStr">
        <is>
          <t>Running Backs (RB)</t>
        </is>
      </c>
      <c r="B119" t="inlineStr">
        <is>
          <t>RB</t>
        </is>
      </c>
      <c r="C119" t="inlineStr">
        <is>
          <t>Frank Gore Jr.</t>
        </is>
      </c>
      <c r="D119" t="inlineStr">
        <is>
          <t>BUF</t>
        </is>
      </c>
      <c r="E119" t="n">
        <v>120</v>
      </c>
      <c r="F119" t="inlineStr">
        <is>
          <t>Not in top-2 Week 1 depth-chart role</t>
        </is>
      </c>
    </row>
    <row r="120">
      <c r="A120" t="inlineStr">
        <is>
          <t>Running Backs (RB)</t>
        </is>
      </c>
      <c r="B120" t="inlineStr">
        <is>
          <t>RB</t>
        </is>
      </c>
      <c r="C120" t="inlineStr">
        <is>
          <t>Anthony Tyus III</t>
        </is>
      </c>
      <c r="D120" t="inlineStr">
        <is>
          <t>CAR</t>
        </is>
      </c>
      <c r="E120" t="n">
        <v>121</v>
      </c>
      <c r="F120" t="inlineStr">
        <is>
          <t>Not in top-2 Week 1 depth-chart role</t>
        </is>
      </c>
    </row>
    <row r="121">
      <c r="A121" t="inlineStr">
        <is>
          <t>Running Backs (RB)</t>
        </is>
      </c>
      <c r="B121" t="inlineStr">
        <is>
          <t>RB</t>
        </is>
      </c>
      <c r="C121" t="inlineStr">
        <is>
          <t>Joshua Pitsenberger</t>
        </is>
      </c>
      <c r="D121" t="inlineStr">
        <is>
          <t>HOU</t>
        </is>
      </c>
      <c r="E121" t="n">
        <v>122</v>
      </c>
      <c r="F121" t="inlineStr">
        <is>
          <t>Not in top-2 Week 1 depth-chart role</t>
        </is>
      </c>
    </row>
    <row r="122">
      <c r="A122" t="inlineStr">
        <is>
          <t>Running Backs (RB)</t>
        </is>
      </c>
      <c r="B122" t="inlineStr">
        <is>
          <t>RB</t>
        </is>
      </c>
      <c r="C122" t="inlineStr">
        <is>
          <t>Dameon Pierce</t>
        </is>
      </c>
      <c r="D122" t="inlineStr">
        <is>
          <t>PHI</t>
        </is>
      </c>
      <c r="E122" t="n">
        <v>123</v>
      </c>
      <c r="F122" t="inlineStr">
        <is>
          <t>Not in top-2 Week 1 depth-chart role</t>
        </is>
      </c>
    </row>
    <row r="123">
      <c r="A123" t="inlineStr">
        <is>
          <t>Running Backs (RB)</t>
        </is>
      </c>
      <c r="B123" t="inlineStr">
        <is>
          <t>RB</t>
        </is>
      </c>
      <c r="C123" t="inlineStr">
        <is>
          <t>Gary Brightwell</t>
        </is>
      </c>
      <c r="D123" t="inlineStr">
        <is>
          <t>CIN</t>
        </is>
      </c>
      <c r="E123" t="n">
        <v>124</v>
      </c>
      <c r="F123" t="inlineStr">
        <is>
          <t>Not in top-2 Week 1 depth-chart role</t>
        </is>
      </c>
    </row>
    <row r="124">
      <c r="A124" t="inlineStr">
        <is>
          <t>Running Backs (RB)</t>
        </is>
      </c>
      <c r="B124" t="inlineStr">
        <is>
          <t>RB</t>
        </is>
      </c>
      <c r="C124" t="inlineStr">
        <is>
          <t>Ahmani Marshall</t>
        </is>
      </c>
      <c r="D124" t="inlineStr">
        <is>
          <t>CAR</t>
        </is>
      </c>
      <c r="E124" t="n">
        <v>125</v>
      </c>
      <c r="F124" t="inlineStr">
        <is>
          <t>Not in top-2 Week 1 depth-chart role</t>
        </is>
      </c>
    </row>
    <row r="125">
      <c r="A125" t="inlineStr">
        <is>
          <t>Running Backs (RB)</t>
        </is>
      </c>
      <c r="B125" t="inlineStr">
        <is>
          <t>RB</t>
        </is>
      </c>
      <c r="C125" t="inlineStr">
        <is>
          <t>Eli Heidenreich</t>
        </is>
      </c>
      <c r="D125" t="inlineStr">
        <is>
          <t>PIT</t>
        </is>
      </c>
      <c r="E125" t="n">
        <v>126</v>
      </c>
      <c r="F125" t="inlineStr">
        <is>
          <t>Not in top-2 Week 1 depth-chart role</t>
        </is>
      </c>
    </row>
    <row r="126">
      <c r="A126" t="inlineStr">
        <is>
          <t>Running Backs (RB)</t>
        </is>
      </c>
      <c r="B126" t="inlineStr">
        <is>
          <t>RB</t>
        </is>
      </c>
      <c r="C126" t="inlineStr">
        <is>
          <t>Carlos Washington Jr.</t>
        </is>
      </c>
      <c r="D126" t="inlineStr">
        <is>
          <t>MIA</t>
        </is>
      </c>
      <c r="E126" t="n">
        <v>127</v>
      </c>
      <c r="F126" t="inlineStr">
        <is>
          <t>Not in top-2 Week 1 depth-chart role</t>
        </is>
      </c>
    </row>
    <row r="127">
      <c r="A127" t="inlineStr">
        <is>
          <t>Running Backs (RB)</t>
        </is>
      </c>
      <c r="B127" t="inlineStr">
        <is>
          <t>RB</t>
        </is>
      </c>
      <c r="C127" t="inlineStr">
        <is>
          <t>Miles Davis</t>
        </is>
      </c>
      <c r="D127" t="inlineStr">
        <is>
          <t>CAR</t>
        </is>
      </c>
      <c r="E127" t="n">
        <v>128</v>
      </c>
      <c r="F127" t="inlineStr">
        <is>
          <t>Not in top-2 Week 1 depth-chart role</t>
        </is>
      </c>
    </row>
    <row r="128">
      <c r="A128" t="inlineStr">
        <is>
          <t>Running Backs (RB)</t>
        </is>
      </c>
      <c r="B128" t="inlineStr">
        <is>
          <t>RB</t>
        </is>
      </c>
      <c r="C128" t="inlineStr">
        <is>
          <t>Lucas Scott</t>
        </is>
      </c>
      <c r="D128" t="inlineStr">
        <is>
          <t>BAL</t>
        </is>
      </c>
      <c r="E128" t="n">
        <v>129</v>
      </c>
      <c r="F128" t="inlineStr">
        <is>
          <t>Not in top-2 Week 1 depth-chart role</t>
        </is>
      </c>
    </row>
    <row r="129">
      <c r="A129" t="inlineStr">
        <is>
          <t>Running Backs (RB)</t>
        </is>
      </c>
      <c r="B129" t="inlineStr">
        <is>
          <t>RB</t>
        </is>
      </c>
      <c r="C129" t="inlineStr">
        <is>
          <t>Cash Jones</t>
        </is>
      </c>
      <c r="D129" t="inlineStr">
        <is>
          <t>ATL</t>
        </is>
      </c>
      <c r="E129" t="n">
        <v>130</v>
      </c>
      <c r="F129" t="inlineStr">
        <is>
          <t>Not in top-2 Week 1 depth-chart role</t>
        </is>
      </c>
    </row>
    <row r="130">
      <c r="A130" t="inlineStr">
        <is>
          <t>Running Backs (RB)</t>
        </is>
      </c>
      <c r="B130" t="inlineStr">
        <is>
          <t>RB</t>
        </is>
      </c>
      <c r="C130" t="inlineStr">
        <is>
          <t>Anderson Castle</t>
        </is>
      </c>
      <c r="D130" t="inlineStr">
        <is>
          <t>IND</t>
        </is>
      </c>
      <c r="E130" t="n">
        <v>131</v>
      </c>
      <c r="F130" t="inlineStr">
        <is>
          <t>Not in top-2 Week 1 depth-chart role</t>
        </is>
      </c>
    </row>
    <row r="131">
      <c r="A131" t="inlineStr">
        <is>
          <t>Running Backs (RB)</t>
        </is>
      </c>
      <c r="B131" t="inlineStr">
        <is>
          <t>RB</t>
        </is>
      </c>
      <c r="C131" t="inlineStr">
        <is>
          <t>Coleman Bennett</t>
        </is>
      </c>
      <c r="D131" t="inlineStr">
        <is>
          <t>MIA</t>
        </is>
      </c>
      <c r="E131" t="n">
        <v>132</v>
      </c>
      <c r="F131" t="inlineStr">
        <is>
          <t>Not in top-2 Week 1 depth-chart role</t>
        </is>
      </c>
    </row>
    <row r="132">
      <c r="A132" t="inlineStr">
        <is>
          <t>Running Backs (RB)</t>
        </is>
      </c>
      <c r="B132" t="inlineStr">
        <is>
          <t>RB</t>
        </is>
      </c>
      <c r="C132" t="inlineStr">
        <is>
          <t>Tyler Goodson</t>
        </is>
      </c>
      <c r="D132" t="inlineStr">
        <is>
          <t>ATL</t>
        </is>
      </c>
      <c r="E132" t="n">
        <v>133</v>
      </c>
      <c r="F132" t="inlineStr">
        <is>
          <t>Not in top-2 Week 1 depth-chart role</t>
        </is>
      </c>
    </row>
    <row r="133">
      <c r="A133" t="inlineStr">
        <is>
          <t>Running Backs (RB)</t>
        </is>
      </c>
      <c r="B133" t="inlineStr">
        <is>
          <t>RB</t>
        </is>
      </c>
      <c r="C133" t="inlineStr">
        <is>
          <t>Julius Chestnut</t>
        </is>
      </c>
      <c r="D133" t="inlineStr">
        <is>
          <t>TEN</t>
        </is>
      </c>
      <c r="E133" t="n">
        <v>134</v>
      </c>
      <c r="F133" t="inlineStr">
        <is>
          <t>Not in top-2 Week 1 depth-chart role</t>
        </is>
      </c>
    </row>
    <row r="134">
      <c r="A134" t="inlineStr">
        <is>
          <t>Running Backs (RB)</t>
        </is>
      </c>
      <c r="B134" t="inlineStr">
        <is>
          <t>RB</t>
        </is>
      </c>
      <c r="C134" t="inlineStr">
        <is>
          <t>Demond Claiborne</t>
        </is>
      </c>
      <c r="D134" t="inlineStr">
        <is>
          <t>MIN</t>
        </is>
      </c>
      <c r="E134" t="n">
        <v>135</v>
      </c>
      <c r="F134" t="inlineStr">
        <is>
          <t>Not in top-2 Week 1 depth-chart role</t>
        </is>
      </c>
    </row>
    <row r="135">
      <c r="A135" t="inlineStr">
        <is>
          <t>Running Backs (RB)</t>
        </is>
      </c>
      <c r="B135" t="inlineStr">
        <is>
          <t>RB</t>
        </is>
      </c>
      <c r="C135" t="inlineStr">
        <is>
          <t>Elijah Mitchell</t>
        </is>
      </c>
      <c r="D135" t="inlineStr">
        <is>
          <t>PHI</t>
        </is>
      </c>
      <c r="E135" t="n">
        <v>136</v>
      </c>
      <c r="F135" t="inlineStr">
        <is>
          <t>Not in top-2 Week 1 depth-chart role</t>
        </is>
      </c>
    </row>
    <row r="136">
      <c r="A136" t="inlineStr">
        <is>
          <t>Running Backs (RB)</t>
        </is>
      </c>
      <c r="B136" t="inlineStr">
        <is>
          <t>RB</t>
        </is>
      </c>
      <c r="C136" t="inlineStr">
        <is>
          <t>Josh Williams</t>
        </is>
      </c>
      <c r="D136" t="inlineStr">
        <is>
          <t>TB</t>
        </is>
      </c>
      <c r="E136" t="n">
        <v>137</v>
      </c>
      <c r="F136" t="inlineStr">
        <is>
          <t>Not in top-2 Week 1 depth-chart role</t>
        </is>
      </c>
    </row>
    <row r="137">
      <c r="A137" t="inlineStr">
        <is>
          <t>Running Backs (RB)</t>
        </is>
      </c>
      <c r="B137" t="inlineStr">
        <is>
          <t>RB</t>
        </is>
      </c>
      <c r="C137" t="inlineStr">
        <is>
          <t>Kentrel Bullock</t>
        </is>
      </c>
      <c r="D137" t="inlineStr">
        <is>
          <t>CIN</t>
        </is>
      </c>
      <c r="E137" t="n">
        <v>138</v>
      </c>
      <c r="F137" t="inlineStr">
        <is>
          <t>Not in top-2 Week 1 depth-chart role</t>
        </is>
      </c>
    </row>
    <row r="138">
      <c r="A138" t="inlineStr">
        <is>
          <t>Running Backs (RB)</t>
        </is>
      </c>
      <c r="B138" t="inlineStr">
        <is>
          <t>RB</t>
        </is>
      </c>
      <c r="C138" t="inlineStr">
        <is>
          <t>Sam Scott</t>
        </is>
      </c>
      <c r="D138" t="inlineStr">
        <is>
          <t>NYJ</t>
        </is>
      </c>
      <c r="E138" t="n">
        <v>139</v>
      </c>
      <c r="F138" t="inlineStr">
        <is>
          <t>Not in top-2 Week 1 depth-chart role</t>
        </is>
      </c>
    </row>
    <row r="139">
      <c r="A139" t="inlineStr">
        <is>
          <t>Running Backs (RB)</t>
        </is>
      </c>
      <c r="B139" t="inlineStr">
        <is>
          <t>RB</t>
        </is>
      </c>
      <c r="C139" t="inlineStr">
        <is>
          <t>British Brooks</t>
        </is>
      </c>
      <c r="D139" t="inlineStr">
        <is>
          <t>HOU</t>
        </is>
      </c>
      <c r="E139" t="n">
        <v>140</v>
      </c>
      <c r="F139" t="inlineStr">
        <is>
          <t>Not in top-2 Week 1 depth-chart role</t>
        </is>
      </c>
    </row>
    <row r="140">
      <c r="A140" t="inlineStr">
        <is>
          <t>Running Backs (RB)</t>
        </is>
      </c>
      <c r="B140" t="inlineStr">
        <is>
          <t>RB</t>
        </is>
      </c>
      <c r="C140" t="inlineStr">
        <is>
          <t>Evan Hull</t>
        </is>
      </c>
      <c r="D140" t="inlineStr">
        <is>
          <t>ARI</t>
        </is>
      </c>
      <c r="E140" t="n">
        <v>141</v>
      </c>
      <c r="F140" t="inlineStr">
        <is>
          <t>Not in top-2 Week 1 depth-chart role</t>
        </is>
      </c>
    </row>
    <row r="141">
      <c r="A141" t="inlineStr">
        <is>
          <t>Running Backs (RB)</t>
        </is>
      </c>
      <c r="B141" t="inlineStr">
        <is>
          <t>RB</t>
        </is>
      </c>
      <c r="C141" t="inlineStr">
        <is>
          <t>Jerome Ford</t>
        </is>
      </c>
      <c r="D141" t="inlineStr">
        <is>
          <t>WAS</t>
        </is>
      </c>
      <c r="E141" t="n">
        <v>142</v>
      </c>
      <c r="F141" t="inlineStr">
        <is>
          <t>Not in top-2 Week 1 depth-chart role</t>
        </is>
      </c>
    </row>
    <row r="142">
      <c r="A142" t="inlineStr">
        <is>
          <t>Running Backs (RB)</t>
        </is>
      </c>
      <c r="B142" t="inlineStr">
        <is>
          <t>RB</t>
        </is>
      </c>
      <c r="C142" t="inlineStr">
        <is>
          <t>Adam Randall</t>
        </is>
      </c>
      <c r="D142" t="inlineStr">
        <is>
          <t>BAL</t>
        </is>
      </c>
      <c r="E142" t="n">
        <v>143</v>
      </c>
      <c r="F142" t="inlineStr">
        <is>
          <t>Not in top-2 Week 1 depth-chart role</t>
        </is>
      </c>
    </row>
    <row r="143">
      <c r="A143" t="inlineStr">
        <is>
          <t>Running Backs (RB)</t>
        </is>
      </c>
      <c r="B143" t="inlineStr">
        <is>
          <t>RB</t>
        </is>
      </c>
      <c r="C143" t="inlineStr">
        <is>
          <t>Raheem Blackshear</t>
        </is>
      </c>
      <c r="D143" t="inlineStr">
        <is>
          <t>DET</t>
        </is>
      </c>
      <c r="E143" t="n">
        <v>144</v>
      </c>
      <c r="F143" t="inlineStr">
        <is>
          <t>Not in top-2 Week 1 depth-chart role</t>
        </is>
      </c>
    </row>
    <row r="144">
      <c r="A144" t="inlineStr">
        <is>
          <t>Running Backs (RB)</t>
        </is>
      </c>
      <c r="B144" t="inlineStr">
        <is>
          <t>RB</t>
        </is>
      </c>
      <c r="C144" t="inlineStr">
        <is>
          <t>Michael Burton</t>
        </is>
      </c>
      <c r="D144" t="inlineStr">
        <is>
          <t>CLE</t>
        </is>
      </c>
      <c r="E144" t="n">
        <v>145</v>
      </c>
      <c r="F144" t="inlineStr">
        <is>
          <t>Not in top-2 Week 1 depth-chart role</t>
        </is>
      </c>
    </row>
    <row r="145">
      <c r="A145" t="inlineStr">
        <is>
          <t>Running Backs (RB)</t>
        </is>
      </c>
      <c r="B145" t="inlineStr">
        <is>
          <t>RB</t>
        </is>
      </c>
      <c r="C145" t="inlineStr">
        <is>
          <t>Robert Henry Jr.</t>
        </is>
      </c>
      <c r="D145" t="inlineStr">
        <is>
          <t>WAS</t>
        </is>
      </c>
      <c r="E145" t="n">
        <v>146</v>
      </c>
      <c r="F145" t="inlineStr">
        <is>
          <t>Not in top-2 Week 1 depth-chart role</t>
        </is>
      </c>
    </row>
    <row r="146">
      <c r="A146" t="inlineStr">
        <is>
          <t>Running Backs (RB)</t>
        </is>
      </c>
      <c r="B146" t="inlineStr">
        <is>
          <t>RB</t>
        </is>
      </c>
      <c r="C146" t="inlineStr">
        <is>
          <t>Donovan Edwards</t>
        </is>
      </c>
      <c r="D146" t="inlineStr">
        <is>
          <t>MIA</t>
        </is>
      </c>
      <c r="E146" t="n">
        <v>147</v>
      </c>
      <c r="F146" t="inlineStr">
        <is>
          <t>Not in top-2 Week 1 depth-chart role</t>
        </is>
      </c>
    </row>
    <row r="147">
      <c r="A147" t="inlineStr">
        <is>
          <t>Wide Receivers (WR)</t>
        </is>
      </c>
      <c r="B147" t="inlineStr">
        <is>
          <t>WR</t>
        </is>
      </c>
      <c r="C147" t="inlineStr">
        <is>
          <t>Jordyn Tyson</t>
        </is>
      </c>
      <c r="D147" t="inlineStr">
        <is>
          <t>NO</t>
        </is>
      </c>
      <c r="E147" t="n">
        <v>36</v>
      </c>
      <c r="F147" t="inlineStr">
        <is>
          <t>Not in top-2 Week 1 depth-chart role</t>
        </is>
      </c>
    </row>
    <row r="148">
      <c r="A148" t="inlineStr">
        <is>
          <t>Wide Receivers (WR)</t>
        </is>
      </c>
      <c r="B148" t="inlineStr">
        <is>
          <t>WR</t>
        </is>
      </c>
      <c r="C148" t="inlineStr">
        <is>
          <t>Tank Dell</t>
        </is>
      </c>
      <c r="D148" t="inlineStr">
        <is>
          <t>HOU</t>
        </is>
      </c>
      <c r="E148" t="n">
        <v>40</v>
      </c>
      <c r="F148" t="inlineStr">
        <is>
          <t>Not in top-2 Week 1 depth-chart role</t>
        </is>
      </c>
    </row>
    <row r="149">
      <c r="A149" t="inlineStr">
        <is>
          <t>Wide Receivers (WR)</t>
        </is>
      </c>
      <c r="B149" t="inlineStr">
        <is>
          <t>WR</t>
        </is>
      </c>
      <c r="C149" t="inlineStr">
        <is>
          <t>Jayden Higgins</t>
        </is>
      </c>
      <c r="D149" t="inlineStr">
        <is>
          <t>HOU</t>
        </is>
      </c>
      <c r="E149" t="n">
        <v>47</v>
      </c>
      <c r="F149" t="inlineStr">
        <is>
          <t>Not in top-2 Week 1 depth-chart role</t>
        </is>
      </c>
    </row>
    <row r="150">
      <c r="A150" t="inlineStr">
        <is>
          <t>Wide Receivers (WR)</t>
        </is>
      </c>
      <c r="B150" t="inlineStr">
        <is>
          <t>WR</t>
        </is>
      </c>
      <c r="C150" t="inlineStr">
        <is>
          <t>Nick Westbrook-Ikhine</t>
        </is>
      </c>
      <c r="D150" t="inlineStr">
        <is>
          <t>IND</t>
        </is>
      </c>
      <c r="E150" t="n">
        <v>56</v>
      </c>
      <c r="F150" t="inlineStr">
        <is>
          <t>Not in top-2 Week 1 depth-chart role</t>
        </is>
      </c>
    </row>
    <row r="151">
      <c r="A151" t="inlineStr">
        <is>
          <t>Wide Receivers (WR)</t>
        </is>
      </c>
      <c r="B151" t="inlineStr">
        <is>
          <t>WR</t>
        </is>
      </c>
      <c r="C151" t="inlineStr">
        <is>
          <t>Dont'e Thornton Jr.</t>
        </is>
      </c>
      <c r="D151" t="inlineStr">
        <is>
          <t>LV</t>
        </is>
      </c>
      <c r="E151" t="n">
        <v>85</v>
      </c>
      <c r="F151" t="inlineStr">
        <is>
          <t>Not in top-2 Week 1 depth-chart role</t>
        </is>
      </c>
    </row>
    <row r="152">
      <c r="A152" t="inlineStr">
        <is>
          <t>Wide Receivers (WR)</t>
        </is>
      </c>
      <c r="B152" t="inlineStr">
        <is>
          <t>WR</t>
        </is>
      </c>
      <c r="C152" t="inlineStr">
        <is>
          <t>Jamari Thrash</t>
        </is>
      </c>
      <c r="D152" t="inlineStr">
        <is>
          <t>CLE</t>
        </is>
      </c>
      <c r="E152" t="n">
        <v>93</v>
      </c>
      <c r="F152" t="inlineStr">
        <is>
          <t>Not in top-2 Week 1 depth-chart role</t>
        </is>
      </c>
    </row>
    <row r="153">
      <c r="A153" t="inlineStr">
        <is>
          <t>Wide Receivers (WR)</t>
        </is>
      </c>
      <c r="B153" t="inlineStr">
        <is>
          <t>WR</t>
        </is>
      </c>
      <c r="C153" t="inlineStr">
        <is>
          <t>Ted Hurst III</t>
        </is>
      </c>
      <c r="D153" t="inlineStr">
        <is>
          <t>TB</t>
        </is>
      </c>
      <c r="E153" t="n">
        <v>95</v>
      </c>
      <c r="F153" t="inlineStr">
        <is>
          <t>Not in top-2 Week 1 depth-chart role</t>
        </is>
      </c>
    </row>
    <row r="154">
      <c r="A154" t="inlineStr">
        <is>
          <t>Wide Receivers (WR)</t>
        </is>
      </c>
      <c r="B154" t="inlineStr">
        <is>
          <t>WR</t>
        </is>
      </c>
      <c r="C154" t="inlineStr">
        <is>
          <t>Savion Williams</t>
        </is>
      </c>
      <c r="D154" t="inlineStr">
        <is>
          <t>GB</t>
        </is>
      </c>
      <c r="E154" t="n">
        <v>97</v>
      </c>
      <c r="F154" t="inlineStr">
        <is>
          <t>Not in top-2 Week 1 depth-chart role</t>
        </is>
      </c>
    </row>
    <row r="155">
      <c r="A155" t="inlineStr">
        <is>
          <t>Wide Receivers (WR)</t>
        </is>
      </c>
      <c r="B155" t="inlineStr">
        <is>
          <t>WR</t>
        </is>
      </c>
      <c r="C155" t="inlineStr">
        <is>
          <t>Mitch Tinsley</t>
        </is>
      </c>
      <c r="D155" t="inlineStr">
        <is>
          <t>HOU</t>
        </is>
      </c>
      <c r="E155" t="n">
        <v>99</v>
      </c>
      <c r="F155" t="inlineStr">
        <is>
          <t>Not in top-2 Week 1 depth-chart role</t>
        </is>
      </c>
    </row>
    <row r="156">
      <c r="A156" t="inlineStr">
        <is>
          <t>Wide Receivers (WR)</t>
        </is>
      </c>
      <c r="B156" t="inlineStr">
        <is>
          <t>WR</t>
        </is>
      </c>
      <c r="C156" t="inlineStr">
        <is>
          <t>Greg Dortch</t>
        </is>
      </c>
      <c r="D156" t="inlineStr">
        <is>
          <t>BUF</t>
        </is>
      </c>
      <c r="E156" t="n">
        <v>100</v>
      </c>
      <c r="F156" t="inlineStr">
        <is>
          <t>Not in top-2 Week 1 depth-chart role</t>
        </is>
      </c>
    </row>
    <row r="157">
      <c r="A157" t="inlineStr">
        <is>
          <t>Wide Receivers (WR)</t>
        </is>
      </c>
      <c r="B157" t="inlineStr">
        <is>
          <t>WR</t>
        </is>
      </c>
      <c r="C157" t="inlineStr">
        <is>
          <t>Cedric Tillman</t>
        </is>
      </c>
      <c r="D157" t="inlineStr">
        <is>
          <t>NO</t>
        </is>
      </c>
      <c r="E157" t="n">
        <v>105</v>
      </c>
      <c r="F157" t="inlineStr">
        <is>
          <t>Not in top-2 Week 1 depth-chart role</t>
        </is>
      </c>
    </row>
    <row r="158">
      <c r="A158" t="inlineStr">
        <is>
          <t>Wide Receivers (WR)</t>
        </is>
      </c>
      <c r="B158" t="inlineStr">
        <is>
          <t>WR</t>
        </is>
      </c>
      <c r="C158" t="inlineStr">
        <is>
          <t>Ihmir Smith-Marsette</t>
        </is>
      </c>
      <c r="D158" t="inlineStr">
        <is>
          <t>ARI</t>
        </is>
      </c>
      <c r="E158" t="n">
        <v>107</v>
      </c>
      <c r="F158" t="inlineStr">
        <is>
          <t>Not in top-2 Week 1 depth-chart role</t>
        </is>
      </c>
    </row>
    <row r="159">
      <c r="A159" t="inlineStr">
        <is>
          <t>Wide Receivers (WR)</t>
        </is>
      </c>
      <c r="B159" t="inlineStr">
        <is>
          <t>WR</t>
        </is>
      </c>
      <c r="C159" t="inlineStr">
        <is>
          <t>Chris Moore</t>
        </is>
      </c>
      <c r="D159" t="inlineStr">
        <is>
          <t>BAL</t>
        </is>
      </c>
      <c r="E159" t="n">
        <v>110</v>
      </c>
      <c r="F159" t="inlineStr">
        <is>
          <t>Not in top-2 Week 1 depth-chart role</t>
        </is>
      </c>
    </row>
    <row r="160">
      <c r="A160" t="inlineStr">
        <is>
          <t>Wide Receivers (WR)</t>
        </is>
      </c>
      <c r="B160" t="inlineStr">
        <is>
          <t>WR</t>
        </is>
      </c>
      <c r="C160" t="inlineStr">
        <is>
          <t>Johnny Wilson</t>
        </is>
      </c>
      <c r="D160" t="inlineStr">
        <is>
          <t>PHI</t>
        </is>
      </c>
      <c r="E160" t="n">
        <v>115</v>
      </c>
      <c r="F160" t="inlineStr">
        <is>
          <t>Not in top-2 Week 1 depth-chart role</t>
        </is>
      </c>
    </row>
    <row r="161">
      <c r="A161" t="inlineStr">
        <is>
          <t>Wide Receivers (WR)</t>
        </is>
      </c>
      <c r="B161" t="inlineStr">
        <is>
          <t>WR</t>
        </is>
      </c>
      <c r="C161" t="inlineStr">
        <is>
          <t>Austin Trammell</t>
        </is>
      </c>
      <c r="D161" t="inlineStr">
        <is>
          <t>JAC</t>
        </is>
      </c>
      <c r="E161" t="n">
        <v>118</v>
      </c>
      <c r="F161" t="inlineStr">
        <is>
          <t>Not in top-2 Week 1 depth-chart role</t>
        </is>
      </c>
    </row>
    <row r="162">
      <c r="A162" t="inlineStr">
        <is>
          <t>Wide Receivers (WR)</t>
        </is>
      </c>
      <c r="B162" t="inlineStr">
        <is>
          <t>WR</t>
        </is>
      </c>
      <c r="C162" t="inlineStr">
        <is>
          <t>KeAndre Lambert-Smith</t>
        </is>
      </c>
      <c r="D162" t="inlineStr">
        <is>
          <t>LAC</t>
        </is>
      </c>
      <c r="E162" t="n">
        <v>120</v>
      </c>
      <c r="F162" t="inlineStr">
        <is>
          <t>Not in top-2 Week 1 depth-chart role</t>
        </is>
      </c>
    </row>
    <row r="163">
      <c r="A163" t="inlineStr">
        <is>
          <t>Wide Receivers (WR)</t>
        </is>
      </c>
      <c r="B163" t="inlineStr">
        <is>
          <t>WR</t>
        </is>
      </c>
      <c r="C163" t="inlineStr">
        <is>
          <t>Theo Wease Jr.</t>
        </is>
      </c>
      <c r="D163" t="inlineStr">
        <is>
          <t>LAC</t>
        </is>
      </c>
      <c r="E163" t="n">
        <v>121</v>
      </c>
      <c r="F163" t="inlineStr">
        <is>
          <t>Not in top-2 Week 1 depth-chart role</t>
        </is>
      </c>
    </row>
    <row r="164">
      <c r="A164" t="inlineStr">
        <is>
          <t>Wide Receivers (WR)</t>
        </is>
      </c>
      <c r="B164" t="inlineStr">
        <is>
          <t>WR</t>
        </is>
      </c>
      <c r="C164" t="inlineStr">
        <is>
          <t>Terrace Marshall Jr.</t>
        </is>
      </c>
      <c r="D164" t="inlineStr">
        <is>
          <t>MIA</t>
        </is>
      </c>
      <c r="E164" t="n">
        <v>122</v>
      </c>
      <c r="F164" t="inlineStr">
        <is>
          <t>Not in top-2 Week 1 depth-chart role</t>
        </is>
      </c>
    </row>
    <row r="165">
      <c r="A165" t="inlineStr">
        <is>
          <t>Wide Receivers (WR)</t>
        </is>
      </c>
      <c r="B165" t="inlineStr">
        <is>
          <t>WR</t>
        </is>
      </c>
      <c r="C165" t="inlineStr">
        <is>
          <t>Van Jefferson</t>
        </is>
      </c>
      <c r="D165" t="inlineStr">
        <is>
          <t>WAS</t>
        </is>
      </c>
      <c r="E165" t="n">
        <v>127</v>
      </c>
      <c r="F165" t="inlineStr">
        <is>
          <t>Not in top-2 Week 1 depth-chart role</t>
        </is>
      </c>
    </row>
    <row r="166">
      <c r="A166" t="inlineStr">
        <is>
          <t>Wide Receivers (WR)</t>
        </is>
      </c>
      <c r="B166" t="inlineStr">
        <is>
          <t>WR</t>
        </is>
      </c>
      <c r="C166" t="inlineStr">
        <is>
          <t>Shedrick Jackson</t>
        </is>
      </c>
      <c r="D166" t="inlineStr">
        <is>
          <t>LV</t>
        </is>
      </c>
      <c r="E166" t="n">
        <v>128</v>
      </c>
      <c r="F166" t="inlineStr">
        <is>
          <t>Not in top-2 Week 1 depth-chart role</t>
        </is>
      </c>
    </row>
    <row r="167">
      <c r="A167" t="inlineStr">
        <is>
          <t>Wide Receivers (WR)</t>
        </is>
      </c>
      <c r="B167" t="inlineStr">
        <is>
          <t>WR</t>
        </is>
      </c>
      <c r="C167" t="inlineStr">
        <is>
          <t>Cedrick Wilson Jr.</t>
        </is>
      </c>
      <c r="D167" t="inlineStr">
        <is>
          <t>DET</t>
        </is>
      </c>
      <c r="E167" t="n">
        <v>129</v>
      </c>
      <c r="F167" t="inlineStr">
        <is>
          <t>Not in top-2 Week 1 depth-chart role</t>
        </is>
      </c>
    </row>
    <row r="168">
      <c r="A168" t="inlineStr">
        <is>
          <t>Wide Receivers (WR)</t>
        </is>
      </c>
      <c r="B168" t="inlineStr">
        <is>
          <t>WR</t>
        </is>
      </c>
      <c r="C168" t="inlineStr">
        <is>
          <t>Kevin Austin Jr.</t>
        </is>
      </c>
      <c r="D168" t="inlineStr">
        <is>
          <t>NO</t>
        </is>
      </c>
      <c r="E168" t="n">
        <v>131</v>
      </c>
      <c r="F168" t="inlineStr">
        <is>
          <t>Not in top-2 Week 1 depth-chart role</t>
        </is>
      </c>
    </row>
    <row r="169">
      <c r="A169" t="inlineStr">
        <is>
          <t>Wide Receivers (WR)</t>
        </is>
      </c>
      <c r="B169" t="inlineStr">
        <is>
          <t>WR</t>
        </is>
      </c>
      <c r="C169" t="inlineStr">
        <is>
          <t>Scotty Miller</t>
        </is>
      </c>
      <c r="D169" t="inlineStr">
        <is>
          <t>CHI</t>
        </is>
      </c>
      <c r="E169" t="n">
        <v>134</v>
      </c>
      <c r="F169" t="inlineStr">
        <is>
          <t>Not in top-2 Week 1 depth-chart role</t>
        </is>
      </c>
    </row>
    <row r="170">
      <c r="A170" t="inlineStr">
        <is>
          <t>Wide Receivers (WR)</t>
        </is>
      </c>
      <c r="B170" t="inlineStr">
        <is>
          <t>WR</t>
        </is>
      </c>
      <c r="C170" t="inlineStr">
        <is>
          <t>Dylan Drummond</t>
        </is>
      </c>
      <c r="D170" t="inlineStr">
        <is>
          <t>ATL</t>
        </is>
      </c>
      <c r="E170" t="n">
        <v>136</v>
      </c>
      <c r="F170" t="inlineStr">
        <is>
          <t>Not in top-2 Week 1 depth-chart role</t>
        </is>
      </c>
    </row>
    <row r="171">
      <c r="A171" t="inlineStr">
        <is>
          <t>Wide Receivers (WR)</t>
        </is>
      </c>
      <c r="B171" t="inlineStr">
        <is>
          <t>WR</t>
        </is>
      </c>
      <c r="C171" t="inlineStr">
        <is>
          <t>Bub Means</t>
        </is>
      </c>
      <c r="D171" t="inlineStr">
        <is>
          <t>CLE</t>
        </is>
      </c>
      <c r="E171" t="n">
        <v>137</v>
      </c>
      <c r="F171" t="inlineStr">
        <is>
          <t>Not in top-2 Week 1 depth-chart role</t>
        </is>
      </c>
    </row>
    <row r="172">
      <c r="A172" t="inlineStr">
        <is>
          <t>Wide Receivers (WR)</t>
        </is>
      </c>
      <c r="B172" t="inlineStr">
        <is>
          <t>WR</t>
        </is>
      </c>
      <c r="C172" t="inlineStr">
        <is>
          <t>Mecole Hardman Jr.</t>
        </is>
      </c>
      <c r="D172" t="inlineStr">
        <is>
          <t>BUF</t>
        </is>
      </c>
      <c r="E172" t="n">
        <v>138</v>
      </c>
      <c r="F172" t="inlineStr">
        <is>
          <t>Not in top-2 Week 1 depth-chart role</t>
        </is>
      </c>
    </row>
    <row r="173">
      <c r="A173" t="inlineStr">
        <is>
          <t>Wide Receivers (WR)</t>
        </is>
      </c>
      <c r="B173" t="inlineStr">
        <is>
          <t>WR</t>
        </is>
      </c>
      <c r="C173" t="inlineStr">
        <is>
          <t>Dontae Fleming</t>
        </is>
      </c>
      <c r="D173" t="inlineStr">
        <is>
          <t>MIN</t>
        </is>
      </c>
      <c r="E173" t="n">
        <v>140</v>
      </c>
      <c r="F173" t="inlineStr">
        <is>
          <t>Not in top-2 Week 1 depth-chart role</t>
        </is>
      </c>
    </row>
    <row r="174">
      <c r="A174" t="inlineStr">
        <is>
          <t>Wide Receivers (WR)</t>
        </is>
      </c>
      <c r="B174" t="inlineStr">
        <is>
          <t>WR</t>
        </is>
      </c>
      <c r="C174" t="inlineStr">
        <is>
          <t>Tim Jones</t>
        </is>
      </c>
      <c r="D174" t="inlineStr">
        <is>
          <t>JAC</t>
        </is>
      </c>
      <c r="E174" t="n">
        <v>141</v>
      </c>
      <c r="F174" t="inlineStr">
        <is>
          <t>Not in top-2 Week 1 depth-chart role</t>
        </is>
      </c>
    </row>
    <row r="175">
      <c r="A175" t="inlineStr">
        <is>
          <t>Wide Receivers (WR)</t>
        </is>
      </c>
      <c r="B175" t="inlineStr">
        <is>
          <t>WR</t>
        </is>
      </c>
      <c r="C175" t="inlineStr">
        <is>
          <t>David Moore</t>
        </is>
      </c>
      <c r="D175" t="inlineStr">
        <is>
          <t>CAR</t>
        </is>
      </c>
      <c r="E175" t="n">
        <v>142</v>
      </c>
      <c r="F175" t="inlineStr">
        <is>
          <t>Not in top-2 Week 1 depth-chart role</t>
        </is>
      </c>
    </row>
    <row r="176">
      <c r="A176" t="inlineStr">
        <is>
          <t>Wide Receivers (WR)</t>
        </is>
      </c>
      <c r="B176" t="inlineStr">
        <is>
          <t>WR</t>
        </is>
      </c>
      <c r="C176" t="inlineStr">
        <is>
          <t>David Sills V</t>
        </is>
      </c>
      <c r="D176" t="inlineStr">
        <is>
          <t>TB</t>
        </is>
      </c>
      <c r="E176" t="n">
        <v>143</v>
      </c>
      <c r="F176" t="inlineStr">
        <is>
          <t>Not in top-2 Week 1 depth-chart role</t>
        </is>
      </c>
    </row>
    <row r="177">
      <c r="A177" t="inlineStr">
        <is>
          <t>Wide Receivers (WR)</t>
        </is>
      </c>
      <c r="B177" t="inlineStr">
        <is>
          <t>WR</t>
        </is>
      </c>
      <c r="C177" t="inlineStr">
        <is>
          <t>Justin Watson</t>
        </is>
      </c>
      <c r="D177" t="inlineStr">
        <is>
          <t>HOU</t>
        </is>
      </c>
      <c r="E177" t="n">
        <v>144</v>
      </c>
      <c r="F177" t="inlineStr">
        <is>
          <t>Not in top-2 Week 1 depth-chart role</t>
        </is>
      </c>
    </row>
    <row r="178">
      <c r="A178" t="inlineStr">
        <is>
          <t>Wide Receivers (WR)</t>
        </is>
      </c>
      <c r="B178" t="inlineStr">
        <is>
          <t>WR</t>
        </is>
      </c>
      <c r="C178" t="inlineStr">
        <is>
          <t>Deven Thompkins</t>
        </is>
      </c>
      <c r="D178" t="inlineStr">
        <is>
          <t>LV</t>
        </is>
      </c>
      <c r="E178" t="n">
        <v>145</v>
      </c>
      <c r="F178" t="inlineStr">
        <is>
          <t>Not in top-2 Week 1 depth-chart role</t>
        </is>
      </c>
    </row>
    <row r="179">
      <c r="A179" t="inlineStr">
        <is>
          <t>Wide Receivers (WR)</t>
        </is>
      </c>
      <c r="B179" t="inlineStr">
        <is>
          <t>WR</t>
        </is>
      </c>
      <c r="C179" t="inlineStr">
        <is>
          <t>K.J. Osborn</t>
        </is>
      </c>
      <c r="D179" t="inlineStr">
        <is>
          <t>TEN</t>
        </is>
      </c>
      <c r="E179" t="n">
        <v>147</v>
      </c>
      <c r="F179" t="inlineStr">
        <is>
          <t>Not in top-2 Week 1 depth-chart role</t>
        </is>
      </c>
    </row>
    <row r="180">
      <c r="A180" t="inlineStr">
        <is>
          <t>Wide Receivers (WR)</t>
        </is>
      </c>
      <c r="B180" t="inlineStr">
        <is>
          <t>WR</t>
        </is>
      </c>
      <c r="C180" t="inlineStr">
        <is>
          <t>Dante Pettis</t>
        </is>
      </c>
      <c r="D180" t="inlineStr">
        <is>
          <t>BUF</t>
        </is>
      </c>
      <c r="E180" t="n">
        <v>148</v>
      </c>
      <c r="F180" t="inlineStr">
        <is>
          <t>Not in top-2 Week 1 depth-chart role</t>
        </is>
      </c>
    </row>
    <row r="181">
      <c r="A181" t="inlineStr">
        <is>
          <t>Wide Receivers (WR)</t>
        </is>
      </c>
      <c r="B181" t="inlineStr">
        <is>
          <t>WR</t>
        </is>
      </c>
      <c r="C181" t="inlineStr">
        <is>
          <t>Lewis Bond</t>
        </is>
      </c>
      <c r="D181" t="inlineStr">
        <is>
          <t>HOU</t>
        </is>
      </c>
      <c r="E181" t="n">
        <v>151</v>
      </c>
      <c r="F181" t="inlineStr">
        <is>
          <t>Not in top-2 Week 1 depth-chart role</t>
        </is>
      </c>
    </row>
    <row r="182">
      <c r="A182" t="inlineStr">
        <is>
          <t>Wide Receivers (WR)</t>
        </is>
      </c>
      <c r="B182" t="inlineStr">
        <is>
          <t>WR</t>
        </is>
      </c>
      <c r="C182" t="inlineStr">
        <is>
          <t>Max Tomczak</t>
        </is>
      </c>
      <c r="D182" t="inlineStr">
        <is>
          <t>BUF</t>
        </is>
      </c>
      <c r="E182" t="n">
        <v>152</v>
      </c>
      <c r="F182" t="inlineStr">
        <is>
          <t>Not in top-2 Week 1 depth-chart role</t>
        </is>
      </c>
    </row>
    <row r="183">
      <c r="A183" t="inlineStr">
        <is>
          <t>Wide Receivers (WR)</t>
        </is>
      </c>
      <c r="B183" t="inlineStr">
        <is>
          <t>WR</t>
        </is>
      </c>
      <c r="C183" t="inlineStr">
        <is>
          <t>Quentin Skinner</t>
        </is>
      </c>
      <c r="D183" t="inlineStr">
        <is>
          <t>BUF</t>
        </is>
      </c>
      <c r="E183" t="n">
        <v>153</v>
      </c>
      <c r="F183" t="inlineStr">
        <is>
          <t>Not in top-2 Week 1 depth-chart role</t>
        </is>
      </c>
    </row>
    <row r="184">
      <c r="A184" t="inlineStr">
        <is>
          <t>Wide Receivers (WR)</t>
        </is>
      </c>
      <c r="B184" t="inlineStr">
        <is>
          <t>WR</t>
        </is>
      </c>
      <c r="C184" t="inlineStr">
        <is>
          <t>Antwane Wells Jr.</t>
        </is>
      </c>
      <c r="D184" t="inlineStr">
        <is>
          <t>ATL</t>
        </is>
      </c>
      <c r="E184" t="n">
        <v>154</v>
      </c>
      <c r="F184" t="inlineStr">
        <is>
          <t>Not in top-2 Week 1 depth-chart role</t>
        </is>
      </c>
    </row>
    <row r="185">
      <c r="A185" t="inlineStr">
        <is>
          <t>Wide Receivers (WR)</t>
        </is>
      </c>
      <c r="B185" t="inlineStr">
        <is>
          <t>WR</t>
        </is>
      </c>
      <c r="C185" t="inlineStr">
        <is>
          <t>Luke Grimm</t>
        </is>
      </c>
      <c r="D185" t="inlineStr">
        <is>
          <t>LAC</t>
        </is>
      </c>
      <c r="E185" t="n">
        <v>155</v>
      </c>
      <c r="F185" t="inlineStr">
        <is>
          <t>Not in top-2 Week 1 depth-chart role</t>
        </is>
      </c>
    </row>
    <row r="186">
      <c r="A186" t="inlineStr">
        <is>
          <t>Wide Receivers (WR)</t>
        </is>
      </c>
      <c r="B186" t="inlineStr">
        <is>
          <t>WR</t>
        </is>
      </c>
      <c r="C186" t="inlineStr">
        <is>
          <t>Mante Morrow</t>
        </is>
      </c>
      <c r="D186" t="inlineStr">
        <is>
          <t>LAC</t>
        </is>
      </c>
      <c r="E186" t="n">
        <v>156</v>
      </c>
      <c r="F186" t="inlineStr">
        <is>
          <t>Not in top-2 Week 1 depth-chart role</t>
        </is>
      </c>
    </row>
    <row r="187">
      <c r="A187" t="inlineStr">
        <is>
          <t>Wide Receivers (WR)</t>
        </is>
      </c>
      <c r="B187" t="inlineStr">
        <is>
          <t>WR</t>
        </is>
      </c>
      <c r="C187" t="inlineStr">
        <is>
          <t>Britain Covey</t>
        </is>
      </c>
      <c r="D187" t="inlineStr">
        <is>
          <t>PHI</t>
        </is>
      </c>
      <c r="E187" t="n">
        <v>157</v>
      </c>
      <c r="F187" t="inlineStr">
        <is>
          <t>Not in top-2 Week 1 depth-chart role</t>
        </is>
      </c>
    </row>
    <row r="188">
      <c r="A188" t="inlineStr">
        <is>
          <t>Wide Receivers (WR)</t>
        </is>
      </c>
      <c r="B188" t="inlineStr">
        <is>
          <t>WR</t>
        </is>
      </c>
      <c r="C188" t="inlineStr">
        <is>
          <t>Jordan Moore</t>
        </is>
      </c>
      <c r="D188" t="inlineStr">
        <is>
          <t>CIN</t>
        </is>
      </c>
      <c r="E188" t="n">
        <v>159</v>
      </c>
      <c r="F188" t="inlineStr">
        <is>
          <t>Not in top-2 Week 1 depth-chart role</t>
        </is>
      </c>
    </row>
    <row r="189">
      <c r="A189" t="inlineStr">
        <is>
          <t>Wide Receivers (WR)</t>
        </is>
      </c>
      <c r="B189" t="inlineStr">
        <is>
          <t>WR</t>
        </is>
      </c>
      <c r="C189" t="inlineStr">
        <is>
          <t>Jacoby Jones</t>
        </is>
      </c>
      <c r="D189" t="inlineStr">
        <is>
          <t>WAS</t>
        </is>
      </c>
      <c r="E189" t="n">
        <v>160</v>
      </c>
      <c r="F189" t="inlineStr">
        <is>
          <t>Not in top-2 Week 1 depth-chart role</t>
        </is>
      </c>
    </row>
    <row r="190">
      <c r="A190" t="inlineStr">
        <is>
          <t>Wide Receivers (WR)</t>
        </is>
      </c>
      <c r="B190" t="inlineStr">
        <is>
          <t>WR</t>
        </is>
      </c>
      <c r="C190" t="inlineStr">
        <is>
          <t>DT Sheffield</t>
        </is>
      </c>
      <c r="D190" t="inlineStr">
        <is>
          <t>NYJ</t>
        </is>
      </c>
      <c r="E190" t="n">
        <v>161</v>
      </c>
      <c r="F190" t="inlineStr">
        <is>
          <t>Not in top-2 Week 1 depth-chart role</t>
        </is>
      </c>
    </row>
    <row r="191">
      <c r="A191" t="inlineStr">
        <is>
          <t>Wide Receivers (WR)</t>
        </is>
      </c>
      <c r="B191" t="inlineStr">
        <is>
          <t>WR</t>
        </is>
      </c>
      <c r="C191" t="inlineStr">
        <is>
          <t>Dominique Robinson</t>
        </is>
      </c>
      <c r="D191" t="inlineStr">
        <is>
          <t>HOU</t>
        </is>
      </c>
      <c r="E191" t="n">
        <v>162</v>
      </c>
      <c r="F191" t="inlineStr">
        <is>
          <t>Not in top-2 Week 1 depth-chart role</t>
        </is>
      </c>
    </row>
    <row r="192">
      <c r="A192" t="inlineStr">
        <is>
          <t>Wide Receivers (WR)</t>
        </is>
      </c>
      <c r="B192" t="inlineStr">
        <is>
          <t>WR</t>
        </is>
      </c>
      <c r="C192" t="inlineStr">
        <is>
          <t>Will Sheppard</t>
        </is>
      </c>
      <c r="D192" t="inlineStr">
        <is>
          <t>MIA</t>
        </is>
      </c>
      <c r="E192" t="n">
        <v>163</v>
      </c>
      <c r="F192" t="inlineStr">
        <is>
          <t>Not in top-2 Week 1 depth-chart role</t>
        </is>
      </c>
    </row>
    <row r="193">
      <c r="A193" t="inlineStr">
        <is>
          <t>Wide Receivers (WR)</t>
        </is>
      </c>
      <c r="B193" t="inlineStr">
        <is>
          <t>WR</t>
        </is>
      </c>
      <c r="C193" t="inlineStr">
        <is>
          <t>Corey Rucker</t>
        </is>
      </c>
      <c r="D193" t="inlineStr">
        <is>
          <t>LV</t>
        </is>
      </c>
      <c r="E193" t="n">
        <v>164</v>
      </c>
      <c r="F193" t="inlineStr">
        <is>
          <t>Not in top-2 Week 1 depth-chart role</t>
        </is>
      </c>
    </row>
    <row r="194">
      <c r="A194" t="inlineStr">
        <is>
          <t>Wide Receivers (WR)</t>
        </is>
      </c>
      <c r="B194" t="inlineStr">
        <is>
          <t>WR</t>
        </is>
      </c>
      <c r="C194" t="inlineStr">
        <is>
          <t>AJ Henning</t>
        </is>
      </c>
      <c r="D194" t="inlineStr">
        <is>
          <t>MIA</t>
        </is>
      </c>
      <c r="E194" t="n">
        <v>165</v>
      </c>
      <c r="F194" t="inlineStr">
        <is>
          <t>Not in top-2 Week 1 depth-chart role</t>
        </is>
      </c>
    </row>
    <row r="195">
      <c r="A195" t="inlineStr">
        <is>
          <t>Wide Receivers (WR)</t>
        </is>
      </c>
      <c r="B195" t="inlineStr">
        <is>
          <t>WR</t>
        </is>
      </c>
      <c r="C195" t="inlineStr">
        <is>
          <t>Keelan Marion</t>
        </is>
      </c>
      <c r="D195" t="inlineStr">
        <is>
          <t>ATL</t>
        </is>
      </c>
      <c r="E195" t="n">
        <v>166</v>
      </c>
      <c r="F195" t="inlineStr">
        <is>
          <t>Not in top-2 Week 1 depth-chart role</t>
        </is>
      </c>
    </row>
    <row r="196">
      <c r="A196" t="inlineStr">
        <is>
          <t>Wide Receivers (WR)</t>
        </is>
      </c>
      <c r="B196" t="inlineStr">
        <is>
          <t>WR</t>
        </is>
      </c>
      <c r="C196" t="inlineStr">
        <is>
          <t>Montrell Washington</t>
        </is>
      </c>
      <c r="D196" t="inlineStr">
        <is>
          <t>HOU</t>
        </is>
      </c>
      <c r="E196" t="n">
        <v>167</v>
      </c>
      <c r="F196" t="inlineStr">
        <is>
          <t>Not in top-2 Week 1 depth-chart role</t>
        </is>
      </c>
    </row>
    <row r="197">
      <c r="A197" t="inlineStr">
        <is>
          <t>Wide Receivers (WR)</t>
        </is>
      </c>
      <c r="B197" t="inlineStr">
        <is>
          <t>WR</t>
        </is>
      </c>
      <c r="C197" t="inlineStr">
        <is>
          <t>Xavier Weaver</t>
        </is>
      </c>
      <c r="D197" t="inlineStr">
        <is>
          <t>ARI</t>
        </is>
      </c>
      <c r="E197" t="n">
        <v>168</v>
      </c>
      <c r="F197" t="inlineStr">
        <is>
          <t>Not in top-2 Week 1 depth-chart role</t>
        </is>
      </c>
    </row>
    <row r="198">
      <c r="A198" t="inlineStr">
        <is>
          <t>Wide Receivers (WR)</t>
        </is>
      </c>
      <c r="B198" t="inlineStr">
        <is>
          <t>WR</t>
        </is>
      </c>
      <c r="C198" t="inlineStr">
        <is>
          <t>Marcus Sanders Jr.</t>
        </is>
      </c>
      <c r="D198" t="inlineStr">
        <is>
          <t>MIN</t>
        </is>
      </c>
      <c r="E198" t="n">
        <v>170</v>
      </c>
      <c r="F198" t="inlineStr">
        <is>
          <t>Not in top-2 Week 1 depth-chart role</t>
        </is>
      </c>
    </row>
    <row r="199">
      <c r="A199" t="inlineStr">
        <is>
          <t>Wide Receivers (WR)</t>
        </is>
      </c>
      <c r="B199" t="inlineStr">
        <is>
          <t>WR</t>
        </is>
      </c>
      <c r="C199" t="inlineStr">
        <is>
          <t>Xavier Restrepo</t>
        </is>
      </c>
      <c r="D199" t="inlineStr">
        <is>
          <t>TEN</t>
        </is>
      </c>
      <c r="E199" t="n">
        <v>171</v>
      </c>
      <c r="F199" t="inlineStr">
        <is>
          <t>Not in top-2 Week 1 depth-chart role</t>
        </is>
      </c>
    </row>
    <row r="200">
      <c r="A200" t="inlineStr">
        <is>
          <t>Wide Receivers (WR)</t>
        </is>
      </c>
      <c r="B200" t="inlineStr">
        <is>
          <t>WR</t>
        </is>
      </c>
      <c r="C200" t="inlineStr">
        <is>
          <t>Dillon Bell</t>
        </is>
      </c>
      <c r="D200" t="inlineStr">
        <is>
          <t>MIN</t>
        </is>
      </c>
      <c r="E200" t="n">
        <v>173</v>
      </c>
      <c r="F200" t="inlineStr">
        <is>
          <t>Not in top-2 Week 1 depth-chart role</t>
        </is>
      </c>
    </row>
    <row r="201">
      <c r="A201" t="inlineStr">
        <is>
          <t>Wide Receivers (WR)</t>
        </is>
      </c>
      <c r="B201" t="inlineStr">
        <is>
          <t>WR</t>
        </is>
      </c>
      <c r="C201" t="inlineStr">
        <is>
          <t>Mason Tipton</t>
        </is>
      </c>
      <c r="D201" t="inlineStr">
        <is>
          <t>NO</t>
        </is>
      </c>
      <c r="E201" t="n">
        <v>175</v>
      </c>
      <c r="F201" t="inlineStr">
        <is>
          <t>Not in top-2 Week 1 depth-chart role</t>
        </is>
      </c>
    </row>
    <row r="202">
      <c r="A202" t="inlineStr">
        <is>
          <t>Wide Receivers (WR)</t>
        </is>
      </c>
      <c r="B202" t="inlineStr">
        <is>
          <t>WR</t>
        </is>
      </c>
      <c r="C202" t="inlineStr">
        <is>
          <t>Joaquin Davis</t>
        </is>
      </c>
      <c r="D202" t="inlineStr">
        <is>
          <t>PIT</t>
        </is>
      </c>
      <c r="E202" t="n">
        <v>176</v>
      </c>
      <c r="F202" t="inlineStr">
        <is>
          <t>Not in top-2 Week 1 depth-chart role</t>
        </is>
      </c>
    </row>
    <row r="203">
      <c r="A203" t="inlineStr">
        <is>
          <t>Wide Receivers (WR)</t>
        </is>
      </c>
      <c r="B203" t="inlineStr">
        <is>
          <t>WR</t>
        </is>
      </c>
      <c r="C203" t="inlineStr">
        <is>
          <t>Jalen Walthall</t>
        </is>
      </c>
      <c r="D203" t="inlineStr">
        <is>
          <t>NYJ</t>
        </is>
      </c>
      <c r="E203" t="n">
        <v>177</v>
      </c>
      <c r="F203" t="inlineStr">
        <is>
          <t>Not in top-2 Week 1 depth-chart role</t>
        </is>
      </c>
    </row>
    <row r="204">
      <c r="A204" t="inlineStr">
        <is>
          <t>Wide Receivers (WR)</t>
        </is>
      </c>
      <c r="B204" t="inlineStr">
        <is>
          <t>WR</t>
        </is>
      </c>
      <c r="C204" t="inlineStr">
        <is>
          <t>Ja'seem Reed</t>
        </is>
      </c>
      <c r="D204" t="inlineStr">
        <is>
          <t>CAR</t>
        </is>
      </c>
      <c r="E204" t="n">
        <v>178</v>
      </c>
      <c r="F204" t="inlineStr">
        <is>
          <t>Not in top-2 Week 1 depth-chart role</t>
        </is>
      </c>
    </row>
    <row r="205">
      <c r="A205" t="inlineStr">
        <is>
          <t>Wide Receivers (WR)</t>
        </is>
      </c>
      <c r="B205" t="inlineStr">
        <is>
          <t>WR</t>
        </is>
      </c>
      <c r="C205" t="inlineStr">
        <is>
          <t>Dominic Lovett</t>
        </is>
      </c>
      <c r="D205" t="inlineStr">
        <is>
          <t>DET</t>
        </is>
      </c>
      <c r="E205" t="n">
        <v>179</v>
      </c>
      <c r="F205" t="inlineStr">
        <is>
          <t>Not in top-2 Week 1 depth-chart role</t>
        </is>
      </c>
    </row>
    <row r="206">
      <c r="A206" t="inlineStr">
        <is>
          <t>Wide Receivers (WR)</t>
        </is>
      </c>
      <c r="B206" t="inlineStr">
        <is>
          <t>WR</t>
        </is>
      </c>
      <c r="C206" t="inlineStr">
        <is>
          <t>A.T. Perry</t>
        </is>
      </c>
      <c r="D206" t="inlineStr">
        <is>
          <t>PIT</t>
        </is>
      </c>
      <c r="E206" t="n">
        <v>180</v>
      </c>
      <c r="F206" t="inlineStr">
        <is>
          <t>Not in top-2 Week 1 depth-chart role</t>
        </is>
      </c>
    </row>
    <row r="207">
      <c r="A207" t="inlineStr">
        <is>
          <t>Wide Receivers (WR)</t>
        </is>
      </c>
      <c r="B207" t="inlineStr">
        <is>
          <t>WR</t>
        </is>
      </c>
      <c r="C207" t="inlineStr">
        <is>
          <t>Brandon Johnson</t>
        </is>
      </c>
      <c r="D207" t="inlineStr">
        <is>
          <t>PIT</t>
        </is>
      </c>
      <c r="E207" t="n">
        <v>181</v>
      </c>
      <c r="F207" t="inlineStr">
        <is>
          <t>Not in top-2 Week 1 depth-chart role</t>
        </is>
      </c>
    </row>
    <row r="208">
      <c r="A208" t="inlineStr">
        <is>
          <t>Wide Receivers (WR)</t>
        </is>
      </c>
      <c r="B208" t="inlineStr">
        <is>
          <t>WR</t>
        </is>
      </c>
      <c r="C208" t="inlineStr">
        <is>
          <t>Danny Gray</t>
        </is>
      </c>
      <c r="D208" t="inlineStr">
        <is>
          <t>PHI</t>
        </is>
      </c>
      <c r="E208" t="n">
        <v>182</v>
      </c>
      <c r="F208" t="inlineStr">
        <is>
          <t>Not in top-2 Week 1 depth-chart role</t>
        </is>
      </c>
    </row>
    <row r="209">
      <c r="A209" t="inlineStr">
        <is>
          <t>Wide Receivers (WR)</t>
        </is>
      </c>
      <c r="B209" t="inlineStr">
        <is>
          <t>WR</t>
        </is>
      </c>
      <c r="C209" t="inlineStr">
        <is>
          <t>Kaden Prather</t>
        </is>
      </c>
      <c r="D209" t="inlineStr">
        <is>
          <t>GB</t>
        </is>
      </c>
      <c r="E209" t="n">
        <v>183</v>
      </c>
      <c r="F209" t="inlineStr">
        <is>
          <t>Not in top-2 Week 1 depth-chart role</t>
        </is>
      </c>
    </row>
    <row r="210">
      <c r="A210" t="inlineStr">
        <is>
          <t>Wide Receivers (WR)</t>
        </is>
      </c>
      <c r="B210" t="inlineStr">
        <is>
          <t>WR</t>
        </is>
      </c>
      <c r="C210" t="inlineStr">
        <is>
          <t>Sincere Brown</t>
        </is>
      </c>
      <c r="D210" t="inlineStr">
        <is>
          <t>LAC</t>
        </is>
      </c>
      <c r="E210" t="n">
        <v>184</v>
      </c>
      <c r="F210" t="inlineStr">
        <is>
          <t>Not in top-2 Week 1 depth-chart role</t>
        </is>
      </c>
    </row>
    <row r="211">
      <c r="A211" t="inlineStr">
        <is>
          <t>Wide Receivers (WR)</t>
        </is>
      </c>
      <c r="B211" t="inlineStr">
        <is>
          <t>WR</t>
        </is>
      </c>
      <c r="C211" t="inlineStr">
        <is>
          <t>Bryson Green</t>
        </is>
      </c>
      <c r="D211" t="inlineStr">
        <is>
          <t>ARI</t>
        </is>
      </c>
      <c r="E211" t="n">
        <v>185</v>
      </c>
      <c r="F211" t="inlineStr">
        <is>
          <t>Not in top-2 Week 1 depth-chart role</t>
        </is>
      </c>
    </row>
    <row r="212">
      <c r="A212" t="inlineStr">
        <is>
          <t>Wide Receivers (WR)</t>
        </is>
      </c>
      <c r="B212" t="inlineStr">
        <is>
          <t>WR</t>
        </is>
      </c>
      <c r="C212" t="inlineStr">
        <is>
          <t>Trent Sherfield Sr.</t>
        </is>
      </c>
      <c r="D212" t="inlineStr">
        <is>
          <t>BUF</t>
        </is>
      </c>
      <c r="E212" t="n">
        <v>186</v>
      </c>
      <c r="F212" t="inlineStr">
        <is>
          <t>Not in top-2 Week 1 depth-chart role</t>
        </is>
      </c>
    </row>
    <row r="213">
      <c r="A213" t="inlineStr">
        <is>
          <t>Wide Receivers (WR)</t>
        </is>
      </c>
      <c r="B213" t="inlineStr">
        <is>
          <t>WR</t>
        </is>
      </c>
      <c r="C213" t="inlineStr">
        <is>
          <t>Eli Pancol</t>
        </is>
      </c>
      <c r="D213" t="inlineStr">
        <is>
          <t>IND</t>
        </is>
      </c>
      <c r="E213" t="n">
        <v>187</v>
      </c>
      <c r="F213" t="inlineStr">
        <is>
          <t>Not in top-2 Week 1 depth-chart role</t>
        </is>
      </c>
    </row>
    <row r="214">
      <c r="A214" t="inlineStr">
        <is>
          <t>Wide Receivers (WR)</t>
        </is>
      </c>
      <c r="B214" t="inlineStr">
        <is>
          <t>WR</t>
        </is>
      </c>
      <c r="C214" t="inlineStr">
        <is>
          <t>Hank Beatty</t>
        </is>
      </c>
      <c r="D214" t="inlineStr">
        <is>
          <t>TEN</t>
        </is>
      </c>
      <c r="E214" t="n">
        <v>188</v>
      </c>
      <c r="F214" t="inlineStr">
        <is>
          <t>Not in top-2 Week 1 depth-chart role</t>
        </is>
      </c>
    </row>
    <row r="215">
      <c r="A215" t="inlineStr">
        <is>
          <t>Wide Receivers (WR)</t>
        </is>
      </c>
      <c r="B215" t="inlineStr">
        <is>
          <t>WR</t>
        </is>
      </c>
      <c r="C215" t="inlineStr">
        <is>
          <t>Courtney Jackson</t>
        </is>
      </c>
      <c r="D215" t="inlineStr">
        <is>
          <t>TEN</t>
        </is>
      </c>
      <c r="E215" t="n">
        <v>189</v>
      </c>
      <c r="F215" t="inlineStr">
        <is>
          <t>Not in top-2 Week 1 depth-chart role</t>
        </is>
      </c>
    </row>
    <row r="216">
      <c r="A216" t="inlineStr">
        <is>
          <t>Wide Receivers (WR)</t>
        </is>
      </c>
      <c r="B216" t="inlineStr">
        <is>
          <t>WR</t>
        </is>
      </c>
      <c r="C216" t="inlineStr">
        <is>
          <t>Dan Chisena</t>
        </is>
      </c>
      <c r="D216" t="inlineStr">
        <is>
          <t>CAR</t>
        </is>
      </c>
      <c r="E216" t="n">
        <v>190</v>
      </c>
      <c r="F216" t="inlineStr">
        <is>
          <t>Not in top-2 Week 1 depth-chart role</t>
        </is>
      </c>
    </row>
    <row r="217">
      <c r="A217" t="inlineStr">
        <is>
          <t>Wide Receivers (WR)</t>
        </is>
      </c>
      <c r="B217" t="inlineStr">
        <is>
          <t>WR</t>
        </is>
      </c>
      <c r="C217" t="inlineStr">
        <is>
          <t>Noah Thomas</t>
        </is>
      </c>
      <c r="D217" t="inlineStr">
        <is>
          <t>CIN</t>
        </is>
      </c>
      <c r="E217" t="n">
        <v>191</v>
      </c>
      <c r="F217" t="inlineStr">
        <is>
          <t>Not in top-2 Week 1 depth-chart role</t>
        </is>
      </c>
    </row>
    <row r="218">
      <c r="A218" t="inlineStr">
        <is>
          <t>Wide Receivers (WR)</t>
        </is>
      </c>
      <c r="B218" t="inlineStr">
        <is>
          <t>WR</t>
        </is>
      </c>
      <c r="C218" t="inlineStr">
        <is>
          <t>Kole Wilson</t>
        </is>
      </c>
      <c r="D218" t="inlineStr">
        <is>
          <t>CLE</t>
        </is>
      </c>
      <c r="E218" t="n">
        <v>192</v>
      </c>
      <c r="F218" t="inlineStr">
        <is>
          <t>Not in top-2 Week 1 depth-chart role</t>
        </is>
      </c>
    </row>
    <row r="219">
      <c r="A219" t="inlineStr">
        <is>
          <t>Wide Receivers (WR)</t>
        </is>
      </c>
      <c r="B219" t="inlineStr">
        <is>
          <t>WR</t>
        </is>
      </c>
      <c r="C219" t="inlineStr">
        <is>
          <t>Gage Larvadain</t>
        </is>
      </c>
      <c r="D219" t="inlineStr">
        <is>
          <t>CLE</t>
        </is>
      </c>
      <c r="E219" t="n">
        <v>193</v>
      </c>
      <c r="F219" t="inlineStr">
        <is>
          <t>Not in top-2 Week 1 depth-chart role</t>
        </is>
      </c>
    </row>
    <row r="220">
      <c r="A220" t="inlineStr">
        <is>
          <t>Wide Receivers (WR)</t>
        </is>
      </c>
      <c r="B220" t="inlineStr">
        <is>
          <t>WR</t>
        </is>
      </c>
      <c r="C220" t="inlineStr">
        <is>
          <t>Tom Kennedy</t>
        </is>
      </c>
      <c r="D220" t="inlineStr">
        <is>
          <t>DET</t>
        </is>
      </c>
      <c r="E220" t="n">
        <v>194</v>
      </c>
      <c r="F220" t="inlineStr">
        <is>
          <t>Not in top-2 Week 1 depth-chart role</t>
        </is>
      </c>
    </row>
    <row r="221">
      <c r="A221" t="inlineStr">
        <is>
          <t>Wide Receivers (WR)</t>
        </is>
      </c>
      <c r="B221" t="inlineStr">
        <is>
          <t>WR</t>
        </is>
      </c>
      <c r="C221" t="inlineStr">
        <is>
          <t>Xavier Johnson</t>
        </is>
      </c>
      <c r="D221" t="inlineStr">
        <is>
          <t>CIN</t>
        </is>
      </c>
      <c r="E221" t="n">
        <v>195</v>
      </c>
      <c r="F221" t="inlineStr">
        <is>
          <t>Not in top-2 Week 1 depth-chart role</t>
        </is>
      </c>
    </row>
    <row r="222">
      <c r="A222" t="inlineStr">
        <is>
          <t>Wide Receivers (WR)</t>
        </is>
      </c>
      <c r="B222" t="inlineStr">
        <is>
          <t>WR</t>
        </is>
      </c>
      <c r="C222" t="inlineStr">
        <is>
          <t>Lance McCutcheon</t>
        </is>
      </c>
      <c r="D222" t="inlineStr">
        <is>
          <t>TEN</t>
        </is>
      </c>
      <c r="E222" t="n">
        <v>196</v>
      </c>
      <c r="F222" t="inlineStr">
        <is>
          <t>Not in top-2 Week 1 depth-chart role</t>
        </is>
      </c>
    </row>
    <row r="223">
      <c r="A223" t="inlineStr">
        <is>
          <t>Wide Receivers (WR)</t>
        </is>
      </c>
      <c r="B223" t="inlineStr">
        <is>
          <t>WR</t>
        </is>
      </c>
      <c r="C223" t="inlineStr">
        <is>
          <t>Devin Lafayette</t>
        </is>
      </c>
      <c r="D223" t="inlineStr">
        <is>
          <t>LV</t>
        </is>
      </c>
      <c r="E223" t="n">
        <v>197</v>
      </c>
      <c r="F223" t="inlineStr">
        <is>
          <t>Not in top-2 Week 1 depth-chart role</t>
        </is>
      </c>
    </row>
    <row r="224">
      <c r="A224" t="inlineStr">
        <is>
          <t>Wide Receivers (WR)</t>
        </is>
      </c>
      <c r="B224" t="inlineStr">
        <is>
          <t>WR</t>
        </is>
      </c>
      <c r="C224" t="inlineStr">
        <is>
          <t>Quez Watkins</t>
        </is>
      </c>
      <c r="D224" t="inlineStr">
        <is>
          <t>PHI</t>
        </is>
      </c>
      <c r="E224" t="n">
        <v>198</v>
      </c>
      <c r="F224" t="inlineStr">
        <is>
          <t>Not in top-2 Week 1 depth-chart role</t>
        </is>
      </c>
    </row>
    <row r="225">
      <c r="A225" t="inlineStr">
        <is>
          <t>Wide Receivers (WR)</t>
        </is>
      </c>
      <c r="B225" t="inlineStr">
        <is>
          <t>WR</t>
        </is>
      </c>
      <c r="C225" t="inlineStr">
        <is>
          <t>Trayvon Rudolph</t>
        </is>
      </c>
      <c r="D225" t="inlineStr">
        <is>
          <t>MIN</t>
        </is>
      </c>
      <c r="E225" t="n">
        <v>199</v>
      </c>
      <c r="F225" t="inlineStr">
        <is>
          <t>Not in top-2 Week 1 depth-chart role</t>
        </is>
      </c>
    </row>
    <row r="226">
      <c r="A226" t="inlineStr">
        <is>
          <t>Wide Receivers (WR)</t>
        </is>
      </c>
      <c r="B226" t="inlineStr">
        <is>
          <t>WR</t>
        </is>
      </c>
      <c r="C226" t="inlineStr">
        <is>
          <t>Terrill Davis</t>
        </is>
      </c>
      <c r="D226" t="inlineStr">
        <is>
          <t>MIN</t>
        </is>
      </c>
      <c r="E226" t="n">
        <v>200</v>
      </c>
      <c r="F226" t="inlineStr">
        <is>
          <t>Not in top-2 Week 1 depth-chart role</t>
        </is>
      </c>
    </row>
    <row r="227">
      <c r="A227" t="inlineStr">
        <is>
          <t>Wide Receivers (WR)</t>
        </is>
      </c>
      <c r="B227" t="inlineStr">
        <is>
          <t>WR</t>
        </is>
      </c>
      <c r="C227" t="inlineStr">
        <is>
          <t>Lawrence Keys III</t>
        </is>
      </c>
      <c r="D227" t="inlineStr">
        <is>
          <t>DET</t>
        </is>
      </c>
      <c r="E227" t="n">
        <v>201</v>
      </c>
      <c r="F227" t="inlineStr">
        <is>
          <t>Not in top-2 Week 1 depth-chart role</t>
        </is>
      </c>
    </row>
    <row r="228">
      <c r="A228" t="inlineStr">
        <is>
          <t>Wide Receivers (WR)</t>
        </is>
      </c>
      <c r="B228" t="inlineStr">
        <is>
          <t>WR</t>
        </is>
      </c>
      <c r="C228" t="inlineStr">
        <is>
          <t>E.J. Williams Jr.</t>
        </is>
      </c>
      <c r="D228" t="inlineStr">
        <is>
          <t>LV</t>
        </is>
      </c>
      <c r="E228" t="n">
        <v>202</v>
      </c>
      <c r="F228" t="inlineStr">
        <is>
          <t>Not in top-2 Week 1 depth-chart role</t>
        </is>
      </c>
    </row>
    <row r="229">
      <c r="A229" t="inlineStr">
        <is>
          <t>Wide Receivers (WR)</t>
        </is>
      </c>
      <c r="B229" t="inlineStr">
        <is>
          <t>WR</t>
        </is>
      </c>
      <c r="C229" t="inlineStr">
        <is>
          <t>Chase Roberts</t>
        </is>
      </c>
      <c r="D229" t="inlineStr">
        <is>
          <t>LV</t>
        </is>
      </c>
      <c r="E229" t="n">
        <v>203</v>
      </c>
      <c r="F229" t="inlineStr">
        <is>
          <t>Not in top-2 Week 1 depth-chart role</t>
        </is>
      </c>
    </row>
    <row r="230">
      <c r="A230" t="inlineStr">
        <is>
          <t>Wide Receivers (WR)</t>
        </is>
      </c>
      <c r="B230" t="inlineStr">
        <is>
          <t>WR</t>
        </is>
      </c>
      <c r="C230" t="inlineStr">
        <is>
          <t>Liam Clifford</t>
        </is>
      </c>
      <c r="D230" t="inlineStr">
        <is>
          <t>LAC</t>
        </is>
      </c>
      <c r="E230" t="n">
        <v>204</v>
      </c>
      <c r="F230" t="inlineStr">
        <is>
          <t>Not in top-2 Week 1 depth-chart role</t>
        </is>
      </c>
    </row>
    <row r="231">
      <c r="A231" t="inlineStr">
        <is>
          <t>Wide Receivers (WR)</t>
        </is>
      </c>
      <c r="B231" t="inlineStr">
        <is>
          <t>WR</t>
        </is>
      </c>
      <c r="C231" t="inlineStr">
        <is>
          <t>Brock Rechsteiner</t>
        </is>
      </c>
      <c r="D231" t="inlineStr">
        <is>
          <t>NO</t>
        </is>
      </c>
      <c r="E231" t="n">
        <v>205</v>
      </c>
      <c r="F231" t="inlineStr">
        <is>
          <t>Not in top-2 Week 1 depth-chart role</t>
        </is>
      </c>
    </row>
    <row r="232">
      <c r="A232" t="inlineStr">
        <is>
          <t>Wide Receivers (WR)</t>
        </is>
      </c>
      <c r="B232" t="inlineStr">
        <is>
          <t>WR</t>
        </is>
      </c>
      <c r="C232" t="inlineStr">
        <is>
          <t>Cornelius Johnson</t>
        </is>
      </c>
      <c r="D232" t="inlineStr">
        <is>
          <t>BAL</t>
        </is>
      </c>
      <c r="E232" t="n">
        <v>206</v>
      </c>
      <c r="F232" t="inlineStr">
        <is>
          <t>Not in top-2 Week 1 depth-chart role</t>
        </is>
      </c>
    </row>
    <row r="233">
      <c r="A233" t="inlineStr">
        <is>
          <t>Wide Receivers (WR)</t>
        </is>
      </c>
      <c r="B233" t="inlineStr">
        <is>
          <t>WR</t>
        </is>
      </c>
      <c r="C233" t="inlineStr">
        <is>
          <t>Malik McClain</t>
        </is>
      </c>
      <c r="D233" t="inlineStr">
        <is>
          <t>NYJ</t>
        </is>
      </c>
      <c r="E233" t="n">
        <v>207</v>
      </c>
      <c r="F233" t="inlineStr">
        <is>
          <t>Not in top-2 Week 1 depth-chart role</t>
        </is>
      </c>
    </row>
    <row r="234">
      <c r="A234" t="inlineStr">
        <is>
          <t>Wide Receivers (WR)</t>
        </is>
      </c>
      <c r="B234" t="inlineStr">
        <is>
          <t>WR</t>
        </is>
      </c>
      <c r="C234" t="inlineStr">
        <is>
          <t>Aaron Anderson</t>
        </is>
      </c>
      <c r="D234" t="inlineStr">
        <is>
          <t>CLE</t>
        </is>
      </c>
      <c r="E234" t="n">
        <v>208</v>
      </c>
      <c r="F234" t="inlineStr">
        <is>
          <t>Not in top-2 Week 1 depth-chart role</t>
        </is>
      </c>
    </row>
    <row r="235">
      <c r="A235" t="inlineStr">
        <is>
          <t>Wide Receivers (WR)</t>
        </is>
      </c>
      <c r="B235" t="inlineStr">
        <is>
          <t>WR</t>
        </is>
      </c>
      <c r="C235" t="inlineStr">
        <is>
          <t>Jha'Quan Jackson</t>
        </is>
      </c>
      <c r="D235" t="inlineStr">
        <is>
          <t>TB</t>
        </is>
      </c>
      <c r="E235" t="n">
        <v>209</v>
      </c>
      <c r="F235" t="inlineStr">
        <is>
          <t>Not in top-2 Week 1 depth-chart role</t>
        </is>
      </c>
    </row>
    <row r="236">
      <c r="A236" t="inlineStr">
        <is>
          <t>Wide Receivers (WR)</t>
        </is>
      </c>
      <c r="B236" t="inlineStr">
        <is>
          <t>WR</t>
        </is>
      </c>
      <c r="C236" t="inlineStr">
        <is>
          <t>Omari Kelly</t>
        </is>
      </c>
      <c r="D236" t="inlineStr">
        <is>
          <t>CHI</t>
        </is>
      </c>
      <c r="E236" t="n">
        <v>210</v>
      </c>
      <c r="F236" t="inlineStr">
        <is>
          <t>Not in top-2 Week 1 depth-chart role</t>
        </is>
      </c>
    </row>
    <row r="237">
      <c r="A237" t="inlineStr">
        <is>
          <t>Wide Receivers (WR)</t>
        </is>
      </c>
      <c r="B237" t="inlineStr">
        <is>
          <t>WR</t>
        </is>
      </c>
      <c r="C237" t="inlineStr">
        <is>
          <t>Erik Ezukanma</t>
        </is>
      </c>
      <c r="D237" t="inlineStr">
        <is>
          <t>PHI</t>
        </is>
      </c>
      <c r="E237" t="n">
        <v>211</v>
      </c>
      <c r="F237" t="inlineStr">
        <is>
          <t>Not in top-2 Week 1 depth-chart role</t>
        </is>
      </c>
    </row>
    <row r="238">
      <c r="A238" t="inlineStr">
        <is>
          <t>Wide Receivers (WR)</t>
        </is>
      </c>
      <c r="B238" t="inlineStr">
        <is>
          <t>WR</t>
        </is>
      </c>
      <c r="C238" t="inlineStr">
        <is>
          <t>Roc Taylor</t>
        </is>
      </c>
      <c r="D238" t="inlineStr">
        <is>
          <t>CAR</t>
        </is>
      </c>
      <c r="E238" t="n">
        <v>213</v>
      </c>
      <c r="F238" t="inlineStr">
        <is>
          <t>Not in top-2 Week 1 depth-chart role</t>
        </is>
      </c>
    </row>
    <row r="239">
      <c r="A239" t="inlineStr">
        <is>
          <t>Wide Receivers (WR)</t>
        </is>
      </c>
      <c r="B239" t="inlineStr">
        <is>
          <t>WR</t>
        </is>
      </c>
      <c r="C239" t="inlineStr">
        <is>
          <t>Sahmir Hagans</t>
        </is>
      </c>
      <c r="D239" t="inlineStr">
        <is>
          <t>IND</t>
        </is>
      </c>
      <c r="E239" t="n">
        <v>215</v>
      </c>
      <c r="F239" t="inlineStr">
        <is>
          <t>Not in top-2 Week 1 depth-chart role</t>
        </is>
      </c>
    </row>
    <row r="240">
      <c r="A240" t="inlineStr">
        <is>
          <t>Wide Receivers (WR)</t>
        </is>
      </c>
      <c r="B240" t="inlineStr">
        <is>
          <t>WR</t>
        </is>
      </c>
      <c r="C240" t="inlineStr">
        <is>
          <t>Xavier Guillory</t>
        </is>
      </c>
      <c r="D240" t="inlineStr">
        <is>
          <t>BAL</t>
        </is>
      </c>
      <c r="E240" t="n">
        <v>216</v>
      </c>
      <c r="F240" t="inlineStr">
        <is>
          <t>Not in top-2 Week 1 depth-chart role</t>
        </is>
      </c>
    </row>
    <row r="241">
      <c r="A241" t="inlineStr">
        <is>
          <t>Wide Receivers (WR)</t>
        </is>
      </c>
      <c r="B241" t="inlineStr">
        <is>
          <t>WR</t>
        </is>
      </c>
      <c r="C241" t="inlineStr">
        <is>
          <t>Cole Burgess</t>
        </is>
      </c>
      <c r="D241" t="inlineStr">
        <is>
          <t>PIT</t>
        </is>
      </c>
      <c r="E241" t="n">
        <v>217</v>
      </c>
      <c r="F241" t="inlineStr">
        <is>
          <t>Not in top-2 Week 1 depth-chart role</t>
        </is>
      </c>
    </row>
    <row r="242">
      <c r="A242" t="inlineStr">
        <is>
          <t>Wide Receivers (WR)</t>
        </is>
      </c>
      <c r="B242" t="inlineStr">
        <is>
          <t>WR</t>
        </is>
      </c>
      <c r="C242" t="inlineStr">
        <is>
          <t>Ja'Mori Maclin</t>
        </is>
      </c>
      <c r="D242" t="inlineStr">
        <is>
          <t>BUF</t>
        </is>
      </c>
      <c r="E242" t="n">
        <v>218</v>
      </c>
      <c r="F242" t="inlineStr">
        <is>
          <t>Not in top-2 Week 1 depth-chart role</t>
        </is>
      </c>
    </row>
    <row r="243">
      <c r="A243" t="inlineStr">
        <is>
          <t>Wide Receivers (WR)</t>
        </is>
      </c>
      <c r="B243" t="inlineStr">
        <is>
          <t>WR</t>
        </is>
      </c>
      <c r="C243" t="inlineStr">
        <is>
          <t>Trebor Pena</t>
        </is>
      </c>
      <c r="D243" t="inlineStr">
        <is>
          <t>JAC</t>
        </is>
      </c>
      <c r="E243" t="n">
        <v>219</v>
      </c>
      <c r="F243" t="inlineStr">
        <is>
          <t>Not in top-2 Week 1 depth-chart role</t>
        </is>
      </c>
    </row>
    <row r="244">
      <c r="A244" t="inlineStr">
        <is>
          <t>Wide Receivers (WR)</t>
        </is>
      </c>
      <c r="B244" t="inlineStr">
        <is>
          <t>WR</t>
        </is>
      </c>
      <c r="C244" t="inlineStr">
        <is>
          <t>JaQuae Jackson</t>
        </is>
      </c>
      <c r="D244" t="inlineStr">
        <is>
          <t>LAC</t>
        </is>
      </c>
      <c r="E244" t="n">
        <v>220</v>
      </c>
      <c r="F244" t="inlineStr">
        <is>
          <t>Not in top-2 Week 1 depth-chart role</t>
        </is>
      </c>
    </row>
    <row r="245">
      <c r="A245" t="inlineStr">
        <is>
          <t>Wide Receivers (WR)</t>
        </is>
      </c>
      <c r="B245" t="inlineStr">
        <is>
          <t>WR</t>
        </is>
      </c>
      <c r="C245" t="inlineStr">
        <is>
          <t>Garrett Greene</t>
        </is>
      </c>
      <c r="D245" t="inlineStr">
        <is>
          <t>TB</t>
        </is>
      </c>
      <c r="E245" t="n">
        <v>221</v>
      </c>
      <c r="F245" t="inlineStr">
        <is>
          <t>Not in top-2 Week 1 depth-chart role</t>
        </is>
      </c>
    </row>
    <row r="246">
      <c r="A246" t="inlineStr">
        <is>
          <t>Wide Receivers (WR)</t>
        </is>
      </c>
      <c r="B246" t="inlineStr">
        <is>
          <t>WR</t>
        </is>
      </c>
      <c r="C246" t="inlineStr">
        <is>
          <t>Cam Camper</t>
        </is>
      </c>
      <c r="D246" t="inlineStr">
        <is>
          <t>NYJ</t>
        </is>
      </c>
      <c r="E246" t="n">
        <v>222</v>
      </c>
      <c r="F246" t="inlineStr">
        <is>
          <t>Not in top-2 Week 1 depth-chart role</t>
        </is>
      </c>
    </row>
    <row r="247">
      <c r="A247" t="inlineStr">
        <is>
          <t>Wide Receivers (WR)</t>
        </is>
      </c>
      <c r="B247" t="inlineStr">
        <is>
          <t>WR</t>
        </is>
      </c>
      <c r="C247" t="inlineStr">
        <is>
          <t>Kendrick Law</t>
        </is>
      </c>
      <c r="D247" t="inlineStr">
        <is>
          <t>DET</t>
        </is>
      </c>
      <c r="E247" t="n">
        <v>223</v>
      </c>
      <c r="F247" t="inlineStr">
        <is>
          <t>Not in top-2 Week 1 depth-chart role</t>
        </is>
      </c>
    </row>
    <row r="248">
      <c r="A248" t="inlineStr">
        <is>
          <t>Wide Receivers (WR)</t>
        </is>
      </c>
      <c r="B248" t="inlineStr">
        <is>
          <t>WR</t>
        </is>
      </c>
      <c r="C248" t="inlineStr">
        <is>
          <t>Anthony Gould</t>
        </is>
      </c>
      <c r="D248" t="inlineStr">
        <is>
          <t>IND</t>
        </is>
      </c>
      <c r="E248" t="n">
        <v>225</v>
      </c>
      <c r="F248" t="inlineStr">
        <is>
          <t>Not in top-2 Week 1 depth-chart role</t>
        </is>
      </c>
    </row>
    <row r="249">
      <c r="A249" t="inlineStr">
        <is>
          <t>Wide Receivers (WR)</t>
        </is>
      </c>
      <c r="B249" t="inlineStr">
        <is>
          <t>WR</t>
        </is>
      </c>
      <c r="C249" t="inlineStr">
        <is>
          <t>Dayton Wade</t>
        </is>
      </c>
      <c r="D249" t="inlineStr">
        <is>
          <t>BAL</t>
        </is>
      </c>
      <c r="E249" t="n">
        <v>227</v>
      </c>
      <c r="F249" t="inlineStr">
        <is>
          <t>Not in top-2 Week 1 depth-chart role</t>
        </is>
      </c>
    </row>
    <row r="250">
      <c r="A250" t="inlineStr">
        <is>
          <t>Wide Receivers (WR)</t>
        </is>
      </c>
      <c r="B250" t="inlineStr">
        <is>
          <t>WR</t>
        </is>
      </c>
      <c r="C250" t="inlineStr">
        <is>
          <t>Mac Dalena</t>
        </is>
      </c>
      <c r="D250" t="inlineStr">
        <is>
          <t>BUF</t>
        </is>
      </c>
      <c r="E250" t="n">
        <v>228</v>
      </c>
      <c r="F250" t="inlineStr">
        <is>
          <t>Not in top-2 Week 1 depth-chart role</t>
        </is>
      </c>
    </row>
    <row r="251">
      <c r="A251" t="inlineStr">
        <is>
          <t>Wide Receivers (WR)</t>
        </is>
      </c>
      <c r="B251" t="inlineStr">
        <is>
          <t>WR</t>
        </is>
      </c>
      <c r="C251" t="inlineStr">
        <is>
          <t>Kyron Hudson</t>
        </is>
      </c>
      <c r="D251" t="inlineStr">
        <is>
          <t>CHI</t>
        </is>
      </c>
      <c r="E251" t="n">
        <v>229</v>
      </c>
      <c r="F251" t="inlineStr">
        <is>
          <t>Not in top-2 Week 1 depth-chart role</t>
        </is>
      </c>
    </row>
    <row r="252">
      <c r="A252" t="inlineStr">
        <is>
          <t>Wide Receivers (WR)</t>
        </is>
      </c>
      <c r="B252" t="inlineStr">
        <is>
          <t>WR</t>
        </is>
      </c>
      <c r="C252" t="inlineStr">
        <is>
          <t>Coleman Owen</t>
        </is>
      </c>
      <c r="D252" t="inlineStr">
        <is>
          <t>IND</t>
        </is>
      </c>
      <c r="E252" t="n">
        <v>230</v>
      </c>
      <c r="F252" t="inlineStr">
        <is>
          <t>Not in top-2 Week 1 depth-chart role</t>
        </is>
      </c>
    </row>
    <row r="253">
      <c r="A253" t="inlineStr">
        <is>
          <t>Wide Receivers (WR)</t>
        </is>
      </c>
      <c r="B253" t="inlineStr">
        <is>
          <t>WR</t>
        </is>
      </c>
      <c r="C253" t="inlineStr">
        <is>
          <t>Justin Shorter</t>
        </is>
      </c>
      <c r="D253" t="inlineStr">
        <is>
          <t>LV</t>
        </is>
      </c>
      <c r="E253" t="n">
        <v>231</v>
      </c>
      <c r="F253" t="inlineStr">
        <is>
          <t>Not in top-2 Week 1 depth-chart role</t>
        </is>
      </c>
    </row>
    <row r="254">
      <c r="A254" t="inlineStr">
        <is>
          <t>Wide Receivers (WR)</t>
        </is>
      </c>
      <c r="B254" t="inlineStr">
        <is>
          <t>WR</t>
        </is>
      </c>
      <c r="C254" t="inlineStr">
        <is>
          <t>Donaven McCulley</t>
        </is>
      </c>
      <c r="D254" t="inlineStr">
        <is>
          <t>MIA</t>
        </is>
      </c>
      <c r="E254" t="n">
        <v>232</v>
      </c>
      <c r="F254" t="inlineStr">
        <is>
          <t>Not in top-2 Week 1 depth-chart role</t>
        </is>
      </c>
    </row>
    <row r="255">
      <c r="A255" t="inlineStr">
        <is>
          <t>Wide Receivers (WR)</t>
        </is>
      </c>
      <c r="B255" t="inlineStr">
        <is>
          <t>WR</t>
        </is>
      </c>
      <c r="C255" t="inlineStr">
        <is>
          <t>Chris Hilton Jr.</t>
        </is>
      </c>
      <c r="D255" t="inlineStr">
        <is>
          <t>GB</t>
        </is>
      </c>
      <c r="E255" t="n">
        <v>233</v>
      </c>
      <c r="F255" t="inlineStr">
        <is>
          <t>Not in top-2 Week 1 depth-chart role</t>
        </is>
      </c>
    </row>
    <row r="256">
      <c r="A256" t="inlineStr">
        <is>
          <t>Wide Receivers (WR)</t>
        </is>
      </c>
      <c r="B256" t="inlineStr">
        <is>
          <t>WR</t>
        </is>
      </c>
      <c r="C256" t="inlineStr">
        <is>
          <t>Raylen Sharpe</t>
        </is>
      </c>
      <c r="D256" t="inlineStr">
        <is>
          <t>IND</t>
        </is>
      </c>
      <c r="E256" t="n">
        <v>234</v>
      </c>
      <c r="F256" t="inlineStr">
        <is>
          <t>Not in top-2 Week 1 depth-chart role</t>
        </is>
      </c>
    </row>
    <row r="257">
      <c r="A257" t="inlineStr">
        <is>
          <t>Wide Receivers (WR)</t>
        </is>
      </c>
      <c r="B257" t="inlineStr">
        <is>
          <t>WR</t>
        </is>
      </c>
      <c r="C257" t="inlineStr">
        <is>
          <t>Phillip Dorsett II</t>
        </is>
      </c>
      <c r="D257" t="inlineStr">
        <is>
          <t>LV</t>
        </is>
      </c>
      <c r="E257" t="n">
        <v>235</v>
      </c>
      <c r="F257" t="inlineStr">
        <is>
          <t>Not in top-2 Week 1 depth-chart role</t>
        </is>
      </c>
    </row>
    <row r="258">
      <c r="A258" t="inlineStr">
        <is>
          <t>Wide Receivers (WR)</t>
        </is>
      </c>
      <c r="B258" t="inlineStr">
        <is>
          <t>WR</t>
        </is>
      </c>
      <c r="C258" t="inlineStr">
        <is>
          <t>Chandler Brayboy</t>
        </is>
      </c>
      <c r="D258" t="inlineStr">
        <is>
          <t>JAC</t>
        </is>
      </c>
      <c r="E258" t="n">
        <v>236</v>
      </c>
      <c r="F258" t="inlineStr">
        <is>
          <t>Not in top-2 Week 1 depth-chart role</t>
        </is>
      </c>
    </row>
    <row r="259">
      <c r="A259" t="inlineStr">
        <is>
          <t>Wide Receivers (WR)</t>
        </is>
      </c>
      <c r="B259" t="inlineStr">
        <is>
          <t>WR</t>
        </is>
      </c>
      <c r="C259" t="inlineStr">
        <is>
          <t>Kaden Davis</t>
        </is>
      </c>
      <c r="D259" t="inlineStr">
        <is>
          <t>CHI</t>
        </is>
      </c>
      <c r="E259" t="n">
        <v>237</v>
      </c>
      <c r="F259" t="inlineStr">
        <is>
          <t>Not in top-2 Week 1 depth-chart role</t>
        </is>
      </c>
    </row>
    <row r="260">
      <c r="A260" t="inlineStr">
        <is>
          <t>Wide Receivers (WR)</t>
        </is>
      </c>
      <c r="B260" t="inlineStr">
        <is>
          <t>WR</t>
        </is>
      </c>
      <c r="C260" t="inlineStr">
        <is>
          <t>Jeshaun Jones</t>
        </is>
      </c>
      <c r="D260" t="inlineStr">
        <is>
          <t>MIN</t>
        </is>
      </c>
      <c r="E260" t="n">
        <v>238</v>
      </c>
      <c r="F260" t="inlineStr">
        <is>
          <t>Not in top-2 Week 1 depth-chart role</t>
        </is>
      </c>
    </row>
    <row r="261">
      <c r="A261" t="inlineStr">
        <is>
          <t>Wide Receivers (WR)</t>
        </is>
      </c>
      <c r="B261" t="inlineStr">
        <is>
          <t>WR</t>
        </is>
      </c>
      <c r="C261" t="inlineStr">
        <is>
          <t>Jamaal Pritchett</t>
        </is>
      </c>
      <c r="D261" t="inlineStr">
        <is>
          <t>NYJ</t>
        </is>
      </c>
      <c r="E261" t="n">
        <v>239</v>
      </c>
      <c r="F261" t="inlineStr">
        <is>
          <t>Not in top-2 Week 1 depth-chart role</t>
        </is>
      </c>
    </row>
    <row r="262">
      <c r="A262" t="inlineStr">
        <is>
          <t>Wide Receivers (WR)</t>
        </is>
      </c>
      <c r="B262" t="inlineStr">
        <is>
          <t>WR</t>
        </is>
      </c>
      <c r="C262" t="inlineStr">
        <is>
          <t>Dennis Houston</t>
        </is>
      </c>
      <c r="D262" t="inlineStr">
        <is>
          <t>TB</t>
        </is>
      </c>
      <c r="E262" t="n">
        <v>240</v>
      </c>
      <c r="F262" t="inlineStr">
        <is>
          <t>Not in top-2 Week 1 depth-chart role</t>
        </is>
      </c>
    </row>
    <row r="263">
      <c r="A263" t="inlineStr">
        <is>
          <t>Wide Receivers (WR)</t>
        </is>
      </c>
      <c r="B263" t="inlineStr">
        <is>
          <t>WR</t>
        </is>
      </c>
      <c r="C263" t="inlineStr">
        <is>
          <t>Mason Kinsey</t>
        </is>
      </c>
      <c r="D263" t="inlineStr">
        <is>
          <t>TEN</t>
        </is>
      </c>
      <c r="E263" t="n">
        <v>241</v>
      </c>
      <c r="F263" t="inlineStr">
        <is>
          <t>Not in top-2 Week 1 depth-chart role</t>
        </is>
      </c>
    </row>
    <row r="264">
      <c r="A264" t="inlineStr">
        <is>
          <t>Wide Receivers (WR)</t>
        </is>
      </c>
      <c r="B264" t="inlineStr">
        <is>
          <t>WR</t>
        </is>
      </c>
      <c r="C264" t="inlineStr">
        <is>
          <t>Tahj Washington</t>
        </is>
      </c>
      <c r="D264" t="inlineStr">
        <is>
          <t>PHI</t>
        </is>
      </c>
      <c r="E264" t="n">
        <v>242</v>
      </c>
      <c r="F264" t="inlineStr">
        <is>
          <t>Not in top-2 Week 1 depth-chart role</t>
        </is>
      </c>
    </row>
    <row r="265">
      <c r="A265" t="inlineStr">
        <is>
          <t>Wide Receivers (WR)</t>
        </is>
      </c>
      <c r="B265" t="inlineStr">
        <is>
          <t>WR</t>
        </is>
      </c>
      <c r="C265" t="inlineStr">
        <is>
          <t>Elijah Cooks</t>
        </is>
      </c>
      <c r="D265" t="inlineStr">
        <is>
          <t>CAR</t>
        </is>
      </c>
      <c r="E265" t="n">
        <v>243</v>
      </c>
      <c r="F265" t="inlineStr">
        <is>
          <t>Not in top-2 Week 1 depth-chart role</t>
        </is>
      </c>
    </row>
    <row r="266">
      <c r="A266" t="inlineStr">
        <is>
          <t>Wide Receivers (WR)</t>
        </is>
      </c>
      <c r="B266" t="inlineStr">
        <is>
          <t>WR</t>
        </is>
      </c>
      <c r="C266" t="inlineStr">
        <is>
          <t>Brandon Smith</t>
        </is>
      </c>
      <c r="D266" t="inlineStr">
        <is>
          <t>PIT</t>
        </is>
      </c>
      <c r="E266" t="n">
        <v>244</v>
      </c>
      <c r="F266" t="inlineStr">
        <is>
          <t>Not in top-2 Week 1 depth-chart role</t>
        </is>
      </c>
    </row>
    <row r="267">
      <c r="A267" t="inlineStr">
        <is>
          <t>Wide Receivers (WR)</t>
        </is>
      </c>
      <c r="B267" t="inlineStr">
        <is>
          <t>WR</t>
        </is>
      </c>
      <c r="C267" t="inlineStr">
        <is>
          <t>Jakobie Keeney-James</t>
        </is>
      </c>
      <c r="D267" t="inlineStr">
        <is>
          <t>PIT</t>
        </is>
      </c>
      <c r="E267" t="n">
        <v>245</v>
      </c>
      <c r="F267" t="inlineStr">
        <is>
          <t>Not in top-2 Week 1 depth-chart role</t>
        </is>
      </c>
    </row>
    <row r="268">
      <c r="A268" t="inlineStr">
        <is>
          <t>Wide Receivers (WR)</t>
        </is>
      </c>
      <c r="B268" t="inlineStr">
        <is>
          <t>WR</t>
        </is>
      </c>
      <c r="C268" t="inlineStr">
        <is>
          <t>Le'Meke Brockington</t>
        </is>
      </c>
      <c r="D268" t="inlineStr">
        <is>
          <t>ATL</t>
        </is>
      </c>
      <c r="E268" t="n">
        <v>246</v>
      </c>
      <c r="F268" t="inlineStr">
        <is>
          <t>Not in top-2 Week 1 depth-chart role</t>
        </is>
      </c>
    </row>
    <row r="269">
      <c r="A269" t="inlineStr">
        <is>
          <t>Wide Receivers (WR)</t>
        </is>
      </c>
      <c r="B269" t="inlineStr">
        <is>
          <t>WR</t>
        </is>
      </c>
      <c r="C269" t="inlineStr">
        <is>
          <t>River Cracraft</t>
        </is>
      </c>
      <c r="D269" t="inlineStr">
        <is>
          <t>WAS</t>
        </is>
      </c>
      <c r="E269" t="n">
        <v>247</v>
      </c>
      <c r="F269" t="inlineStr">
        <is>
          <t>Not in top-2 Week 1 depth-chart role</t>
        </is>
      </c>
    </row>
    <row r="270">
      <c r="A270" t="inlineStr">
        <is>
          <t>Wide Receivers (WR)</t>
        </is>
      </c>
      <c r="B270" t="inlineStr">
        <is>
          <t>WR</t>
        </is>
      </c>
      <c r="C270" t="inlineStr">
        <is>
          <t>Harrison Wallace III</t>
        </is>
      </c>
      <c r="D270" t="inlineStr">
        <is>
          <t>ARI</t>
        </is>
      </c>
      <c r="E270" t="n">
        <v>248</v>
      </c>
      <c r="F270" t="inlineStr">
        <is>
          <t>Not in top-2 Week 1 depth-chart role</t>
        </is>
      </c>
    </row>
    <row r="271">
      <c r="A271" t="inlineStr">
        <is>
          <t>Wide Receivers (WR)</t>
        </is>
      </c>
      <c r="B271" t="inlineStr">
        <is>
          <t>WR</t>
        </is>
      </c>
      <c r="C271" t="inlineStr">
        <is>
          <t>Chris Brazzell II</t>
        </is>
      </c>
      <c r="D271" t="inlineStr">
        <is>
          <t>CAR</t>
        </is>
      </c>
      <c r="E271" t="n">
        <v>249</v>
      </c>
      <c r="F271" t="inlineStr">
        <is>
          <t>Not in top-2 Week 1 depth-chart role</t>
        </is>
      </c>
    </row>
    <row r="272">
      <c r="A272" t="inlineStr">
        <is>
          <t>Wide Receivers (WR)</t>
        </is>
      </c>
      <c r="B272" t="inlineStr">
        <is>
          <t>WR</t>
        </is>
      </c>
      <c r="C272" t="inlineStr">
        <is>
          <t>Isaiah Neyor</t>
        </is>
      </c>
      <c r="D272" t="inlineStr">
        <is>
          <t>GB</t>
        </is>
      </c>
      <c r="E272" t="n">
        <v>250</v>
      </c>
      <c r="F272" t="inlineStr">
        <is>
          <t>Not in top-2 Week 1 depth-chart role</t>
        </is>
      </c>
    </row>
    <row r="273">
      <c r="A273" t="inlineStr">
        <is>
          <t>Wide Receivers (WR)</t>
        </is>
      </c>
      <c r="B273" t="inlineStr">
        <is>
          <t>WR</t>
        </is>
      </c>
      <c r="C273" t="inlineStr">
        <is>
          <t>Treyvhon Saunders</t>
        </is>
      </c>
      <c r="D273" t="inlineStr">
        <is>
          <t>HOU</t>
        </is>
      </c>
      <c r="E273" t="n">
        <v>251</v>
      </c>
      <c r="F273" t="inlineStr">
        <is>
          <t>Not in top-2 Week 1 depth-chart role</t>
        </is>
      </c>
    </row>
    <row r="274">
      <c r="A274" t="inlineStr">
        <is>
          <t>Wide Receivers (WR)</t>
        </is>
      </c>
      <c r="B274" t="inlineStr">
        <is>
          <t>WR</t>
        </is>
      </c>
      <c r="C274" t="inlineStr">
        <is>
          <t>Daniel Sobkowicz</t>
        </is>
      </c>
      <c r="D274" t="inlineStr">
        <is>
          <t>HOU</t>
        </is>
      </c>
      <c r="E274" t="n">
        <v>253</v>
      </c>
      <c r="F274" t="inlineStr">
        <is>
          <t>Not in top-2 Week 1 depth-chart role</t>
        </is>
      </c>
    </row>
    <row r="275">
      <c r="A275" t="inlineStr">
        <is>
          <t>Wide Receivers (WR)</t>
        </is>
      </c>
      <c r="B275" t="inlineStr">
        <is>
          <t>WR</t>
        </is>
      </c>
      <c r="C275" t="inlineStr">
        <is>
          <t>Samori Toure</t>
        </is>
      </c>
      <c r="D275" t="inlineStr">
        <is>
          <t>PHI</t>
        </is>
      </c>
      <c r="E275" t="n">
        <v>254</v>
      </c>
      <c r="F275" t="inlineStr">
        <is>
          <t>Not in top-2 Week 1 depth-chart role</t>
        </is>
      </c>
    </row>
    <row r="276">
      <c r="A276" t="inlineStr">
        <is>
          <t>Wide Receivers (WR)</t>
        </is>
      </c>
      <c r="B276" t="inlineStr">
        <is>
          <t>WR</t>
        </is>
      </c>
      <c r="C276" t="inlineStr">
        <is>
          <t>Devonte Ross</t>
        </is>
      </c>
      <c r="D276" t="inlineStr">
        <is>
          <t>LAC</t>
        </is>
      </c>
      <c r="E276" t="n">
        <v>255</v>
      </c>
      <c r="F276" t="inlineStr">
        <is>
          <t>Not in top-2 Week 1 depth-chart role</t>
        </is>
      </c>
    </row>
    <row r="277">
      <c r="A277" t="inlineStr">
        <is>
          <t>Wide Receivers (WR)</t>
        </is>
      </c>
      <c r="B277" t="inlineStr">
        <is>
          <t>WR</t>
        </is>
      </c>
      <c r="C277" t="inlineStr">
        <is>
          <t>Bryce Oliver</t>
        </is>
      </c>
      <c r="D277" t="inlineStr">
        <is>
          <t>CLE</t>
        </is>
      </c>
      <c r="E277" t="n">
        <v>256</v>
      </c>
      <c r="F277" t="inlineStr">
        <is>
          <t>Not in top-2 Week 1 depth-chart role</t>
        </is>
      </c>
    </row>
    <row r="278">
      <c r="A278" t="inlineStr">
        <is>
          <t>Wide Receivers (WR)</t>
        </is>
      </c>
      <c r="B278" t="inlineStr">
        <is>
          <t>WR</t>
        </is>
      </c>
      <c r="C278" t="inlineStr">
        <is>
          <t>Maurice Alexander</t>
        </is>
      </c>
      <c r="D278" t="inlineStr">
        <is>
          <t>CHI</t>
        </is>
      </c>
      <c r="E278" t="n">
        <v>258</v>
      </c>
      <c r="F278" t="inlineStr">
        <is>
          <t>Not in top-2 Week 1 depth-chart role</t>
        </is>
      </c>
    </row>
    <row r="279">
      <c r="A279" t="inlineStr">
        <is>
          <t>Wide Receivers (WR)</t>
        </is>
      </c>
      <c r="B279" t="inlineStr">
        <is>
          <t>WR</t>
        </is>
      </c>
      <c r="C279" t="inlineStr">
        <is>
          <t>Brady Boyd</t>
        </is>
      </c>
      <c r="D279" t="inlineStr">
        <is>
          <t>JAC</t>
        </is>
      </c>
      <c r="E279" t="n">
        <v>259</v>
      </c>
      <c r="F279" t="inlineStr">
        <is>
          <t>Not in top-2 Week 1 depth-chart role</t>
        </is>
      </c>
    </row>
    <row r="280">
      <c r="A280" t="inlineStr">
        <is>
          <t>Wide Receivers (WR)</t>
        </is>
      </c>
      <c r="B280" t="inlineStr">
        <is>
          <t>WR</t>
        </is>
      </c>
      <c r="C280" t="inlineStr">
        <is>
          <t>Dean Patterson IV</t>
        </is>
      </c>
      <c r="D280" t="inlineStr">
        <is>
          <t>TB</t>
        </is>
      </c>
      <c r="E280" t="n">
        <v>260</v>
      </c>
      <c r="F280" t="inlineStr">
        <is>
          <t>Not in top-2 Week 1 depth-chart role</t>
        </is>
      </c>
    </row>
    <row r="281">
      <c r="A281" t="inlineStr">
        <is>
          <t>Wide Receivers (WR)</t>
        </is>
      </c>
      <c r="B281" t="inlineStr">
        <is>
          <t>WR</t>
        </is>
      </c>
      <c r="C281" t="inlineStr">
        <is>
          <t>Cortez Braham Jr.</t>
        </is>
      </c>
      <c r="D281" t="inlineStr">
        <is>
          <t>BAL</t>
        </is>
      </c>
      <c r="E281" t="n">
        <v>261</v>
      </c>
      <c r="F281" t="inlineStr">
        <is>
          <t>Not in top-2 Week 1 depth-chart role</t>
        </is>
      </c>
    </row>
    <row r="282">
      <c r="A282" t="inlineStr">
        <is>
          <t>Wide Receivers (WR)</t>
        </is>
      </c>
      <c r="B282" t="inlineStr">
        <is>
          <t>WR</t>
        </is>
      </c>
      <c r="C282" t="inlineStr">
        <is>
          <t>Caullin Lacy</t>
        </is>
      </c>
      <c r="D282" t="inlineStr">
        <is>
          <t>NYJ</t>
        </is>
      </c>
      <c r="E282" t="n">
        <v>262</v>
      </c>
      <c r="F282" t="inlineStr">
        <is>
          <t>Not in top-2 Week 1 depth-chart role</t>
        </is>
      </c>
    </row>
    <row r="283">
      <c r="A283" t="inlineStr">
        <is>
          <t>Wide Receivers (WR)</t>
        </is>
      </c>
      <c r="B283" t="inlineStr">
        <is>
          <t>WR</t>
        </is>
      </c>
      <c r="C283" t="inlineStr">
        <is>
          <t>Jackson Meeks</t>
        </is>
      </c>
      <c r="D283" t="inlineStr">
        <is>
          <t>DET</t>
        </is>
      </c>
      <c r="E283" t="n">
        <v>263</v>
      </c>
      <c r="F283" t="inlineStr">
        <is>
          <t>Not in top-2 Week 1 depth-chart role</t>
        </is>
      </c>
    </row>
    <row r="284">
      <c r="A284" t="inlineStr">
        <is>
          <t>Wide Receivers (WR)</t>
        </is>
      </c>
      <c r="B284" t="inlineStr">
        <is>
          <t>WR</t>
        </is>
      </c>
      <c r="C284" t="inlineStr">
        <is>
          <t>Octavian Smith Jr.</t>
        </is>
      </c>
      <c r="D284" t="inlineStr">
        <is>
          <t>BAL</t>
        </is>
      </c>
      <c r="E284" t="n">
        <v>264</v>
      </c>
      <c r="F284" t="inlineStr">
        <is>
          <t>Not in top-2 Week 1 depth-chart role</t>
        </is>
      </c>
    </row>
    <row r="285">
      <c r="A285" t="inlineStr">
        <is>
          <t>Wide Receivers (WR)</t>
        </is>
      </c>
      <c r="B285" t="inlineStr">
        <is>
          <t>WR</t>
        </is>
      </c>
      <c r="C285" t="inlineStr">
        <is>
          <t>Kendric Pryor</t>
        </is>
      </c>
      <c r="D285" t="inlineStr">
        <is>
          <t>CIN</t>
        </is>
      </c>
      <c r="E285" t="n">
        <v>265</v>
      </c>
      <c r="F285" t="inlineStr">
        <is>
          <t>Not in top-2 Week 1 depth-chart role</t>
        </is>
      </c>
    </row>
    <row r="286">
      <c r="A286" t="inlineStr">
        <is>
          <t>Wide Receivers (WR)</t>
        </is>
      </c>
      <c r="B286" t="inlineStr">
        <is>
          <t>WR</t>
        </is>
      </c>
      <c r="C286" t="inlineStr">
        <is>
          <t>Ainias Smith</t>
        </is>
      </c>
      <c r="D286" t="inlineStr">
        <is>
          <t>CAR</t>
        </is>
      </c>
      <c r="E286" t="n">
        <v>266</v>
      </c>
      <c r="F286" t="inlineStr">
        <is>
          <t>Not in top-2 Week 1 depth-chart role</t>
        </is>
      </c>
    </row>
    <row r="287">
      <c r="A287" t="inlineStr">
        <is>
          <t>Wide Receivers (WR)</t>
        </is>
      </c>
      <c r="B287" t="inlineStr">
        <is>
          <t>WR</t>
        </is>
      </c>
      <c r="C287" t="inlineStr">
        <is>
          <t>JP Richardson</t>
        </is>
      </c>
      <c r="D287" t="inlineStr">
        <is>
          <t>CHI</t>
        </is>
      </c>
      <c r="E287" t="n">
        <v>268</v>
      </c>
      <c r="F287" t="inlineStr">
        <is>
          <t>Not in top-2 Week 1 depth-chart role</t>
        </is>
      </c>
    </row>
    <row r="288">
      <c r="A288" t="inlineStr">
        <is>
          <t>Wide Receivers (WR)</t>
        </is>
      </c>
      <c r="B288" t="inlineStr">
        <is>
          <t>WR</t>
        </is>
      </c>
      <c r="C288" t="inlineStr">
        <is>
          <t>Qadir Ismail</t>
        </is>
      </c>
      <c r="D288" t="inlineStr">
        <is>
          <t>CHI</t>
        </is>
      </c>
      <c r="E288" t="n">
        <v>269</v>
      </c>
      <c r="F288" t="inlineStr">
        <is>
          <t>Not in top-2 Week 1 depth-chart role</t>
        </is>
      </c>
    </row>
    <row r="289">
      <c r="A289" t="inlineStr">
        <is>
          <t>Wide Receivers (WR)</t>
        </is>
      </c>
      <c r="B289" t="inlineStr">
        <is>
          <t>WR</t>
        </is>
      </c>
      <c r="C289" t="inlineStr">
        <is>
          <t>Josh Kelly</t>
        </is>
      </c>
      <c r="D289" t="inlineStr">
        <is>
          <t>HOU</t>
        </is>
      </c>
      <c r="E289" t="n">
        <v>270</v>
      </c>
      <c r="F289" t="inlineStr">
        <is>
          <t>Not in top-2 Week 1 depth-chart role</t>
        </is>
      </c>
    </row>
    <row r="290">
      <c r="A290" t="inlineStr">
        <is>
          <t>Wide Receivers (WR)</t>
        </is>
      </c>
      <c r="B290" t="inlineStr">
        <is>
          <t>WR</t>
        </is>
      </c>
      <c r="C290" t="inlineStr">
        <is>
          <t>Jalen Moreno-Cropper</t>
        </is>
      </c>
      <c r="D290" t="inlineStr">
        <is>
          <t>NO</t>
        </is>
      </c>
      <c r="E290" t="n">
        <v>271</v>
      </c>
      <c r="F290" t="inlineStr">
        <is>
          <t>Not in top-2 Week 1 depth-chart role</t>
        </is>
      </c>
    </row>
    <row r="291">
      <c r="A291" t="inlineStr">
        <is>
          <t>Wide Receivers (WR)</t>
        </is>
      </c>
      <c r="B291" t="inlineStr">
        <is>
          <t>WR</t>
        </is>
      </c>
      <c r="C291" t="inlineStr">
        <is>
          <t>Tyren Montgomery</t>
        </is>
      </c>
      <c r="D291" t="inlineStr">
        <is>
          <t>TEN</t>
        </is>
      </c>
      <c r="E291" t="n">
        <v>272</v>
      </c>
      <c r="F291" t="inlineStr">
        <is>
          <t>Not in top-2 Week 1 depth-chart role</t>
        </is>
      </c>
    </row>
    <row r="292">
      <c r="A292" t="inlineStr">
        <is>
          <t>Wide Receivers (WR)</t>
        </is>
      </c>
      <c r="B292" t="inlineStr">
        <is>
          <t>WR</t>
        </is>
      </c>
      <c r="C292" t="inlineStr">
        <is>
          <t>Tyrell Shavers</t>
        </is>
      </c>
      <c r="D292" t="inlineStr">
        <is>
          <t>BUF</t>
        </is>
      </c>
      <c r="E292" t="n">
        <v>273</v>
      </c>
      <c r="F292" t="inlineStr">
        <is>
          <t>Not in top-2 Week 1 depth-chart role</t>
        </is>
      </c>
    </row>
    <row r="293">
      <c r="A293" t="inlineStr">
        <is>
          <t>Wide Receivers (WR)</t>
        </is>
      </c>
      <c r="B293" t="inlineStr">
        <is>
          <t>WR</t>
        </is>
      </c>
      <c r="C293" t="inlineStr">
        <is>
          <t>Quincy Skinner Jr.</t>
        </is>
      </c>
      <c r="D293" t="inlineStr">
        <is>
          <t>NYJ</t>
        </is>
      </c>
      <c r="E293" t="n">
        <v>274</v>
      </c>
      <c r="F293" t="inlineStr">
        <is>
          <t>Not in top-2 Week 1 depth-chart role</t>
        </is>
      </c>
    </row>
    <row r="294">
      <c r="A294" t="inlineStr">
        <is>
          <t>Wide Receivers (WR)</t>
        </is>
      </c>
      <c r="B294" t="inlineStr">
        <is>
          <t>WR</t>
        </is>
      </c>
      <c r="C294" t="inlineStr">
        <is>
          <t>Michael Briscoe</t>
        </is>
      </c>
      <c r="D294" t="inlineStr">
        <is>
          <t>MIN</t>
        </is>
      </c>
      <c r="E294" t="n">
        <v>275</v>
      </c>
      <c r="F294" t="inlineStr">
        <is>
          <t>Not in top-2 Week 1 depth-chart role</t>
        </is>
      </c>
    </row>
    <row r="295">
      <c r="A295" t="inlineStr">
        <is>
          <t>Wide Receivers (WR)</t>
        </is>
      </c>
      <c r="B295" t="inlineStr">
        <is>
          <t>WR</t>
        </is>
      </c>
      <c r="C295" t="inlineStr">
        <is>
          <t>Lucky Jackson</t>
        </is>
      </c>
      <c r="D295" t="inlineStr">
        <is>
          <t>DET</t>
        </is>
      </c>
      <c r="E295" t="n">
        <v>276</v>
      </c>
      <c r="F295" t="inlineStr">
        <is>
          <t>Not in top-2 Week 1 depth-chart role</t>
        </is>
      </c>
    </row>
    <row r="296">
      <c r="A296" t="inlineStr">
        <is>
          <t>Wide Receivers (WR)</t>
        </is>
      </c>
      <c r="B296" t="inlineStr">
        <is>
          <t>WR</t>
        </is>
      </c>
      <c r="C296" t="inlineStr">
        <is>
          <t>Jaden Bradley</t>
        </is>
      </c>
      <c r="D296" t="inlineStr">
        <is>
          <t>WAS</t>
        </is>
      </c>
      <c r="E296" t="n">
        <v>277</v>
      </c>
      <c r="F296" t="inlineStr">
        <is>
          <t>Not in top-2 Week 1 depth-chart role</t>
        </is>
      </c>
    </row>
    <row r="297">
      <c r="A297" t="inlineStr">
        <is>
          <t>Wide Receivers (WR)</t>
        </is>
      </c>
      <c r="B297" t="inlineStr">
        <is>
          <t>WR</t>
        </is>
      </c>
      <c r="C297" t="inlineStr">
        <is>
          <t>Michael Wortham</t>
        </is>
      </c>
      <c r="D297" t="inlineStr">
        <is>
          <t>JAC</t>
        </is>
      </c>
      <c r="E297" t="n">
        <v>279</v>
      </c>
      <c r="F297" t="inlineStr">
        <is>
          <t>Not in top-2 Week 1 depth-chart role</t>
        </is>
      </c>
    </row>
    <row r="298">
      <c r="A298" t="inlineStr">
        <is>
          <t>Wide Receivers (WR)</t>
        </is>
      </c>
      <c r="B298" t="inlineStr">
        <is>
          <t>WR</t>
        </is>
      </c>
      <c r="C298" t="inlineStr">
        <is>
          <t>Trey Palmer</t>
        </is>
      </c>
      <c r="D298" t="inlineStr">
        <is>
          <t>NO</t>
        </is>
      </c>
      <c r="E298" t="n">
        <v>280</v>
      </c>
      <c r="F298" t="inlineStr">
        <is>
          <t>Not in top-2 Week 1 depth-chart role</t>
        </is>
      </c>
    </row>
    <row r="299">
      <c r="A299" t="inlineStr">
        <is>
          <t>Wide Receivers (WR)</t>
        </is>
      </c>
      <c r="B299" t="inlineStr">
        <is>
          <t>WR</t>
        </is>
      </c>
      <c r="C299" t="inlineStr">
        <is>
          <t>Luke Floriea</t>
        </is>
      </c>
      <c r="D299" t="inlineStr">
        <is>
          <t>CLE</t>
        </is>
      </c>
      <c r="E299" t="n">
        <v>281</v>
      </c>
      <c r="F299" t="inlineStr">
        <is>
          <t>Not in top-2 Week 1 depth-chart role</t>
        </is>
      </c>
    </row>
    <row r="300">
      <c r="A300" t="inlineStr">
        <is>
          <t>Wide Receivers (WR)</t>
        </is>
      </c>
      <c r="B300" t="inlineStr">
        <is>
          <t>WR</t>
        </is>
      </c>
      <c r="C300" t="inlineStr">
        <is>
          <t>Vinny Anthony II</t>
        </is>
      </c>
      <c r="D300" t="inlineStr">
        <is>
          <t>ATL</t>
        </is>
      </c>
      <c r="E300" t="n">
        <v>282</v>
      </c>
      <c r="F300" t="inlineStr">
        <is>
          <t>Not in top-2 Week 1 depth-chart role</t>
        </is>
      </c>
    </row>
    <row r="301">
      <c r="A301" t="inlineStr">
        <is>
          <t>Wide Receivers (WR)</t>
        </is>
      </c>
      <c r="B301" t="inlineStr">
        <is>
          <t>WR</t>
        </is>
      </c>
      <c r="C301" t="inlineStr">
        <is>
          <t>Dalevon Campbell</t>
        </is>
      </c>
      <c r="D301" t="inlineStr">
        <is>
          <t>LAC</t>
        </is>
      </c>
      <c r="E301" t="n">
        <v>283</v>
      </c>
      <c r="F301" t="inlineStr">
        <is>
          <t>Not in top-2 Week 1 depth-chart role</t>
        </is>
      </c>
    </row>
    <row r="302">
      <c r="A302" t="inlineStr">
        <is>
          <t>Wide Receivers (WR)</t>
        </is>
      </c>
      <c r="B302" t="inlineStr">
        <is>
          <t>WR</t>
        </is>
      </c>
      <c r="C302" t="inlineStr">
        <is>
          <t>Eric Rivers Jr.</t>
        </is>
      </c>
      <c r="D302" t="inlineStr">
        <is>
          <t>TB</t>
        </is>
      </c>
      <c r="E302" t="n">
        <v>284</v>
      </c>
      <c r="F302" t="inlineStr">
        <is>
          <t>Not in top-2 Week 1 depth-chart role</t>
        </is>
      </c>
    </row>
    <row r="303">
      <c r="A303" t="inlineStr">
        <is>
          <t>Wide Receivers (WR)</t>
        </is>
      </c>
      <c r="B303" t="inlineStr">
        <is>
          <t>WR</t>
        </is>
      </c>
      <c r="C303" t="inlineStr">
        <is>
          <t>Ronnie Bell</t>
        </is>
      </c>
      <c r="D303" t="inlineStr">
        <is>
          <t>LV</t>
        </is>
      </c>
      <c r="E303" t="n">
        <v>285</v>
      </c>
      <c r="F303" t="inlineStr">
        <is>
          <t>Not in top-2 Week 1 depth-chart role</t>
        </is>
      </c>
    </row>
    <row r="304">
      <c r="A304" t="inlineStr">
        <is>
          <t>Wide Receivers (WR)</t>
        </is>
      </c>
      <c r="B304" t="inlineStr">
        <is>
          <t>WR</t>
        </is>
      </c>
      <c r="C304" t="inlineStr">
        <is>
          <t>E.J. Horton Jr.</t>
        </is>
      </c>
      <c r="D304" t="inlineStr">
        <is>
          <t>IND</t>
        </is>
      </c>
      <c r="E304" t="n">
        <v>286</v>
      </c>
      <c r="F304" t="inlineStr">
        <is>
          <t>Not in top-2 Week 1 depth-chart role</t>
        </is>
      </c>
    </row>
    <row r="305">
      <c r="A305" t="inlineStr">
        <is>
          <t>Wide Receivers (WR)</t>
        </is>
      </c>
      <c r="B305" t="inlineStr">
        <is>
          <t>WR</t>
        </is>
      </c>
      <c r="C305" t="inlineStr">
        <is>
          <t>Stephen Gosnell</t>
        </is>
      </c>
      <c r="D305" t="inlineStr">
        <is>
          <t>BUF</t>
        </is>
      </c>
      <c r="E305" t="n">
        <v>287</v>
      </c>
      <c r="F305" t="inlineStr">
        <is>
          <t>Not in top-2 Week 1 depth-chart role</t>
        </is>
      </c>
    </row>
    <row r="306">
      <c r="A306" t="inlineStr">
        <is>
          <t>Wide Receivers (WR)</t>
        </is>
      </c>
      <c r="B306" t="inlineStr">
        <is>
          <t>WR</t>
        </is>
      </c>
      <c r="C306" t="inlineStr">
        <is>
          <t>Tarik Black</t>
        </is>
      </c>
      <c r="D306" t="inlineStr">
        <is>
          <t>DET</t>
        </is>
      </c>
      <c r="E306" t="n">
        <v>289</v>
      </c>
      <c r="F306" t="inlineStr">
        <is>
          <t>Not in top-2 Week 1 depth-chart role</t>
        </is>
      </c>
    </row>
    <row r="307">
      <c r="A307" t="inlineStr">
        <is>
          <t>Wide Receivers (WR)</t>
        </is>
      </c>
      <c r="B307" t="inlineStr">
        <is>
          <t>WR</t>
        </is>
      </c>
      <c r="C307" t="inlineStr">
        <is>
          <t>Malick Meiga</t>
        </is>
      </c>
      <c r="D307" t="inlineStr">
        <is>
          <t>CAR</t>
        </is>
      </c>
      <c r="E307" t="n">
        <v>290</v>
      </c>
      <c r="F307" t="inlineStr">
        <is>
          <t>Not in top-2 Week 1 depth-chart role</t>
        </is>
      </c>
    </row>
    <row r="308">
      <c r="A308" t="inlineStr">
        <is>
          <t>Wide Receivers (WR)</t>
        </is>
      </c>
      <c r="B308" t="inlineStr">
        <is>
          <t>WR</t>
        </is>
      </c>
      <c r="C308" t="inlineStr">
        <is>
          <t>Brandon Hayes</t>
        </is>
      </c>
      <c r="D308" t="inlineStr">
        <is>
          <t>PHI</t>
        </is>
      </c>
      <c r="E308" t="n">
        <v>293</v>
      </c>
      <c r="F308" t="inlineStr">
        <is>
          <t>Not in top-2 Week 1 depth-chart role</t>
        </is>
      </c>
    </row>
    <row r="309">
      <c r="A309" t="inlineStr">
        <is>
          <t>Wide Receivers (WR)</t>
        </is>
      </c>
      <c r="B309" t="inlineStr">
        <is>
          <t>WR</t>
        </is>
      </c>
      <c r="C309" t="inlineStr">
        <is>
          <t>Jalen Reagor</t>
        </is>
      </c>
      <c r="D309" t="inlineStr">
        <is>
          <t>MIA</t>
        </is>
      </c>
      <c r="E309" t="n">
        <v>295</v>
      </c>
      <c r="F309" t="inlineStr">
        <is>
          <t>Not in top-2 Week 1 depth-chart role</t>
        </is>
      </c>
    </row>
    <row r="310">
      <c r="A310" t="inlineStr">
        <is>
          <t>Wide Receivers (WR)</t>
        </is>
      </c>
      <c r="B310" t="inlineStr">
        <is>
          <t>WR</t>
        </is>
      </c>
      <c r="C310" t="inlineStr">
        <is>
          <t>Levi Wentz</t>
        </is>
      </c>
      <c r="D310" t="inlineStr">
        <is>
          <t>PIT</t>
        </is>
      </c>
      <c r="E310" t="n">
        <v>296</v>
      </c>
      <c r="F310" t="inlineStr">
        <is>
          <t>Not in top-2 Week 1 depth-chart role</t>
        </is>
      </c>
    </row>
    <row r="311">
      <c r="A311" t="inlineStr">
        <is>
          <t>Wide Receivers (WR)</t>
        </is>
      </c>
      <c r="B311" t="inlineStr">
        <is>
          <t>WR</t>
        </is>
      </c>
      <c r="C311" t="inlineStr">
        <is>
          <t>Casey Washington</t>
        </is>
      </c>
      <c r="D311" t="inlineStr">
        <is>
          <t>CAR</t>
        </is>
      </c>
      <c r="E311" t="n">
        <v>297</v>
      </c>
      <c r="F311" t="inlineStr">
        <is>
          <t>Not in top-2 Week 1 depth-chart role</t>
        </is>
      </c>
    </row>
    <row r="312">
      <c r="A312" t="inlineStr">
        <is>
          <t>Wide Receivers (WR)</t>
        </is>
      </c>
      <c r="B312" t="inlineStr">
        <is>
          <t>WR</t>
        </is>
      </c>
      <c r="C312" t="inlineStr">
        <is>
          <t>Nick Nash</t>
        </is>
      </c>
      <c r="D312" t="inlineStr">
        <is>
          <t>WAS</t>
        </is>
      </c>
      <c r="E312" t="n">
        <v>298</v>
      </c>
      <c r="F312" t="inlineStr">
        <is>
          <t>Not in top-2 Week 1 depth-chart role</t>
        </is>
      </c>
    </row>
    <row r="313">
      <c r="A313" t="inlineStr">
        <is>
          <t>Wide Receivers (WR)</t>
        </is>
      </c>
      <c r="B313" t="inlineStr">
        <is>
          <t>WR</t>
        </is>
      </c>
      <c r="C313" t="inlineStr">
        <is>
          <t>DJ Turner</t>
        </is>
      </c>
      <c r="D313" t="inlineStr">
        <is>
          <t>HOU</t>
        </is>
      </c>
      <c r="E313" t="n">
        <v>299</v>
      </c>
      <c r="F313" t="inlineStr">
        <is>
          <t>Not in top-2 Week 1 depth-chart role</t>
        </is>
      </c>
    </row>
    <row r="314">
      <c r="A314" t="inlineStr">
        <is>
          <t>Tight Ends (TE)</t>
        </is>
      </c>
      <c r="B314" t="inlineStr">
        <is>
          <t>TE</t>
        </is>
      </c>
      <c r="C314" t="inlineStr">
        <is>
          <t>Brock Bowers</t>
        </is>
      </c>
      <c r="D314" t="inlineStr">
        <is>
          <t>LV</t>
        </is>
      </c>
      <c r="E314" t="n">
        <v>2</v>
      </c>
      <c r="F314" t="inlineStr">
        <is>
          <t>Confirmed inactive/out</t>
        </is>
      </c>
    </row>
    <row r="315">
      <c r="A315" t="inlineStr">
        <is>
          <t>Tight Ends (TE)</t>
        </is>
      </c>
      <c r="B315" t="inlineStr">
        <is>
          <t>TE</t>
        </is>
      </c>
      <c r="C315" t="inlineStr">
        <is>
          <t>David Njoku</t>
        </is>
      </c>
      <c r="D315" t="inlineStr">
        <is>
          <t>LAC</t>
        </is>
      </c>
      <c r="E315" t="n">
        <v>22</v>
      </c>
      <c r="F315" t="inlineStr">
        <is>
          <t>Not in top-2 Week 1 depth-chart role</t>
        </is>
      </c>
    </row>
    <row r="316">
      <c r="A316" t="inlineStr">
        <is>
          <t>Tight Ends (TE)</t>
        </is>
      </c>
      <c r="B316" t="inlineStr">
        <is>
          <t>TE</t>
        </is>
      </c>
      <c r="C316" t="inlineStr">
        <is>
          <t>Erick All Jr.</t>
        </is>
      </c>
      <c r="D316" t="inlineStr">
        <is>
          <t>CIN</t>
        </is>
      </c>
      <c r="E316" t="n">
        <v>26</v>
      </c>
      <c r="F316" t="inlineStr">
        <is>
          <t>Not in top-2 Week 1 depth-chart role</t>
        </is>
      </c>
    </row>
    <row r="317">
      <c r="A317" t="inlineStr">
        <is>
          <t>Tight Ends (TE)</t>
        </is>
      </c>
      <c r="B317" t="inlineStr">
        <is>
          <t>TE</t>
        </is>
      </c>
      <c r="C317" t="inlineStr">
        <is>
          <t>Ja'Tavion Sanders</t>
        </is>
      </c>
      <c r="D317" t="inlineStr">
        <is>
          <t>CAR</t>
        </is>
      </c>
      <c r="E317" t="n">
        <v>30</v>
      </c>
      <c r="F317" t="inlineStr">
        <is>
          <t>Not in top-2 Week 1 depth-chart role</t>
        </is>
      </c>
    </row>
    <row r="318">
      <c r="A318" t="inlineStr">
        <is>
          <t>Tight Ends (TE)</t>
        </is>
      </c>
      <c r="B318" t="inlineStr">
        <is>
          <t>TE</t>
        </is>
      </c>
      <c r="C318" t="inlineStr">
        <is>
          <t>Seydou Traore</t>
        </is>
      </c>
      <c r="D318" t="inlineStr">
        <is>
          <t>MIA</t>
        </is>
      </c>
      <c r="E318" t="n">
        <v>38</v>
      </c>
      <c r="F318" t="inlineStr">
        <is>
          <t>Not in top-2 Week 1 depth-chart role</t>
        </is>
      </c>
    </row>
    <row r="319">
      <c r="A319" t="inlineStr">
        <is>
          <t>Tight Ends (TE)</t>
        </is>
      </c>
      <c r="B319" t="inlineStr">
        <is>
          <t>TE</t>
        </is>
      </c>
      <c r="C319" t="inlineStr">
        <is>
          <t>Darren Waller</t>
        </is>
      </c>
      <c r="D319" t="inlineStr">
        <is>
          <t>CAR</t>
        </is>
      </c>
      <c r="E319" t="n">
        <v>39</v>
      </c>
      <c r="F319" t="inlineStr">
        <is>
          <t>Not in top-2 Week 1 depth-chart role</t>
        </is>
      </c>
    </row>
    <row r="320">
      <c r="A320" t="inlineStr">
        <is>
          <t>Tight Ends (TE)</t>
        </is>
      </c>
      <c r="B320" t="inlineStr">
        <is>
          <t>TE</t>
        </is>
      </c>
      <c r="C320" t="inlineStr">
        <is>
          <t>Ben Sinnott</t>
        </is>
      </c>
      <c r="D320" t="inlineStr">
        <is>
          <t>WAS</t>
        </is>
      </c>
      <c r="E320" t="n">
        <v>41</v>
      </c>
      <c r="F320" t="inlineStr">
        <is>
          <t>Not in top-2 Week 1 depth-chart role</t>
        </is>
      </c>
    </row>
    <row r="321">
      <c r="A321" t="inlineStr">
        <is>
          <t>Tight Ends (TE)</t>
        </is>
      </c>
      <c r="B321" t="inlineStr">
        <is>
          <t>TE</t>
        </is>
      </c>
      <c r="C321" t="inlineStr">
        <is>
          <t>Tyler Conklin</t>
        </is>
      </c>
      <c r="D321" t="inlineStr">
        <is>
          <t>DET</t>
        </is>
      </c>
      <c r="E321" t="n">
        <v>43</v>
      </c>
      <c r="F321" t="inlineStr">
        <is>
          <t>Not in top-2 Week 1 depth-chart role</t>
        </is>
      </c>
    </row>
    <row r="322">
      <c r="A322" t="inlineStr">
        <is>
          <t>Tight Ends (TE)</t>
        </is>
      </c>
      <c r="B322" t="inlineStr">
        <is>
          <t>TE</t>
        </is>
      </c>
      <c r="C322" t="inlineStr">
        <is>
          <t>Eli Stowers</t>
        </is>
      </c>
      <c r="D322" t="inlineStr">
        <is>
          <t>PHI</t>
        </is>
      </c>
      <c r="E322" t="n">
        <v>44</v>
      </c>
      <c r="F322" t="inlineStr">
        <is>
          <t>Not in top-2 Week 1 depth-chart role</t>
        </is>
      </c>
    </row>
    <row r="323">
      <c r="A323" t="inlineStr">
        <is>
          <t>Tight Ends (TE)</t>
        </is>
      </c>
      <c r="B323" t="inlineStr">
        <is>
          <t>TE</t>
        </is>
      </c>
      <c r="C323" t="inlineStr">
        <is>
          <t>Josh Whyle</t>
        </is>
      </c>
      <c r="D323" t="inlineStr">
        <is>
          <t>GB</t>
        </is>
      </c>
      <c r="E323" t="n">
        <v>45</v>
      </c>
      <c r="F323" t="inlineStr">
        <is>
          <t>Not in top-2 Week 1 depth-chart role</t>
        </is>
      </c>
    </row>
    <row r="324">
      <c r="A324" t="inlineStr">
        <is>
          <t>Tight Ends (TE)</t>
        </is>
      </c>
      <c r="B324" t="inlineStr">
        <is>
          <t>TE</t>
        </is>
      </c>
      <c r="C324" t="inlineStr">
        <is>
          <t>Tanner Koziol</t>
        </is>
      </c>
      <c r="D324" t="inlineStr">
        <is>
          <t>JAC</t>
        </is>
      </c>
      <c r="E324" t="n">
        <v>46</v>
      </c>
      <c r="F324" t="inlineStr">
        <is>
          <t>Not in top-2 Week 1 depth-chart role</t>
        </is>
      </c>
    </row>
    <row r="325">
      <c r="A325" t="inlineStr">
        <is>
          <t>Tight Ends (TE)</t>
        </is>
      </c>
      <c r="B325" t="inlineStr">
        <is>
          <t>TE</t>
        </is>
      </c>
      <c r="C325" t="inlineStr">
        <is>
          <t>Colson Yankoff</t>
        </is>
      </c>
      <c r="D325" t="inlineStr">
        <is>
          <t>WAS</t>
        </is>
      </c>
      <c r="E325" t="n">
        <v>47</v>
      </c>
      <c r="F325" t="inlineStr">
        <is>
          <t>Not in top-2 Week 1 depth-chart role</t>
        </is>
      </c>
    </row>
    <row r="326">
      <c r="A326" t="inlineStr">
        <is>
          <t>Tight Ends (TE)</t>
        </is>
      </c>
      <c r="B326" t="inlineStr">
        <is>
          <t>TE</t>
        </is>
      </c>
      <c r="C326" t="inlineStr">
        <is>
          <t>Luke Musgrave</t>
        </is>
      </c>
      <c r="D326" t="inlineStr">
        <is>
          <t>GB</t>
        </is>
      </c>
      <c r="E326" t="n">
        <v>49</v>
      </c>
      <c r="F326" t="inlineStr">
        <is>
          <t>Not in top-2 Week 1 depth-chart role</t>
        </is>
      </c>
    </row>
    <row r="327">
      <c r="A327" t="inlineStr">
        <is>
          <t>Tight Ends (TE)</t>
        </is>
      </c>
      <c r="B327" t="inlineStr">
        <is>
          <t>TE</t>
        </is>
      </c>
      <c r="C327" t="inlineStr">
        <is>
          <t>Stone Smartt</t>
        </is>
      </c>
      <c r="D327" t="inlineStr">
        <is>
          <t>NO</t>
        </is>
      </c>
      <c r="E327" t="n">
        <v>50</v>
      </c>
      <c r="F327" t="inlineStr">
        <is>
          <t>Not in top-2 Week 1 depth-chart role</t>
        </is>
      </c>
    </row>
    <row r="328">
      <c r="A328" t="inlineStr">
        <is>
          <t>Tight Ends (TE)</t>
        </is>
      </c>
      <c r="B328" t="inlineStr">
        <is>
          <t>TE</t>
        </is>
      </c>
      <c r="C328" t="inlineStr">
        <is>
          <t>Jackson Hawes</t>
        </is>
      </c>
      <c r="D328" t="inlineStr">
        <is>
          <t>BUF</t>
        </is>
      </c>
      <c r="E328" t="n">
        <v>51</v>
      </c>
      <c r="F328" t="inlineStr">
        <is>
          <t>Not in top-2 Week 1 depth-chart role</t>
        </is>
      </c>
    </row>
    <row r="329">
      <c r="A329" t="inlineStr">
        <is>
          <t>Tight Ends (TE)</t>
        </is>
      </c>
      <c r="B329" t="inlineStr">
        <is>
          <t>TE</t>
        </is>
      </c>
      <c r="C329" t="inlineStr">
        <is>
          <t>Hunter Long</t>
        </is>
      </c>
      <c r="D329" t="inlineStr">
        <is>
          <t>ARI</t>
        </is>
      </c>
      <c r="E329" t="n">
        <v>52</v>
      </c>
      <c r="F329" t="inlineStr">
        <is>
          <t>Not in top-2 Week 1 depth-chart role</t>
        </is>
      </c>
    </row>
    <row r="330">
      <c r="A330" t="inlineStr">
        <is>
          <t>Tight Ends (TE)</t>
        </is>
      </c>
      <c r="B330" t="inlineStr">
        <is>
          <t>TE</t>
        </is>
      </c>
      <c r="C330" t="inlineStr">
        <is>
          <t>Jeremy Ruckert</t>
        </is>
      </c>
      <c r="D330" t="inlineStr">
        <is>
          <t>NYJ</t>
        </is>
      </c>
      <c r="E330" t="n">
        <v>54</v>
      </c>
      <c r="F330" t="inlineStr">
        <is>
          <t>Not in top-2 Week 1 depth-chart role</t>
        </is>
      </c>
    </row>
    <row r="331">
      <c r="A331" t="inlineStr">
        <is>
          <t>Tight Ends (TE)</t>
        </is>
      </c>
      <c r="B331" t="inlineStr">
        <is>
          <t>TE</t>
        </is>
      </c>
      <c r="C331" t="inlineStr">
        <is>
          <t>Austin Hooper</t>
        </is>
      </c>
      <c r="D331" t="inlineStr">
        <is>
          <t>ATL</t>
        </is>
      </c>
      <c r="E331" t="n">
        <v>56</v>
      </c>
      <c r="F331" t="inlineStr">
        <is>
          <t>Not in top-2 Week 1 depth-chart role</t>
        </is>
      </c>
    </row>
    <row r="332">
      <c r="A332" t="inlineStr">
        <is>
          <t>Tight Ends (TE)</t>
        </is>
      </c>
      <c r="B332" t="inlineStr">
        <is>
          <t>TE</t>
        </is>
      </c>
      <c r="C332" t="inlineStr">
        <is>
          <t>Tanner Hudson</t>
        </is>
      </c>
      <c r="D332" t="inlineStr">
        <is>
          <t>CIN</t>
        </is>
      </c>
      <c r="E332" t="n">
        <v>57</v>
      </c>
      <c r="F332" t="inlineStr">
        <is>
          <t>Not in top-2 Week 1 depth-chart role</t>
        </is>
      </c>
    </row>
    <row r="333">
      <c r="A333" t="inlineStr">
        <is>
          <t>Tight Ends (TE)</t>
        </is>
      </c>
      <c r="B333" t="inlineStr">
        <is>
          <t>TE</t>
        </is>
      </c>
      <c r="C333" t="inlineStr">
        <is>
          <t>Ben Sims</t>
        </is>
      </c>
      <c r="D333" t="inlineStr">
        <is>
          <t>MIA</t>
        </is>
      </c>
      <c r="E333" t="n">
        <v>58</v>
      </c>
      <c r="F333" t="inlineStr">
        <is>
          <t>Not in top-2 Week 1 depth-chart role</t>
        </is>
      </c>
    </row>
    <row r="334">
      <c r="A334" t="inlineStr">
        <is>
          <t>Tight Ends (TE)</t>
        </is>
      </c>
      <c r="B334" t="inlineStr">
        <is>
          <t>TE</t>
        </is>
      </c>
      <c r="C334" t="inlineStr">
        <is>
          <t>Cade Stover</t>
        </is>
      </c>
      <c r="D334" t="inlineStr">
        <is>
          <t>HOU</t>
        </is>
      </c>
      <c r="E334" t="n">
        <v>59</v>
      </c>
      <c r="F334" t="inlineStr">
        <is>
          <t>Not in top-2 Week 1 depth-chart role</t>
        </is>
      </c>
    </row>
    <row r="335">
      <c r="A335" t="inlineStr">
        <is>
          <t>Tight Ends (TE)</t>
        </is>
      </c>
      <c r="B335" t="inlineStr">
        <is>
          <t>TE</t>
        </is>
      </c>
      <c r="C335" t="inlineStr">
        <is>
          <t>Ben Yurosek</t>
        </is>
      </c>
      <c r="D335" t="inlineStr">
        <is>
          <t>MIN</t>
        </is>
      </c>
      <c r="E335" t="n">
        <v>60</v>
      </c>
      <c r="F335" t="inlineStr">
        <is>
          <t>Not in top-2 Week 1 depth-chart role</t>
        </is>
      </c>
    </row>
    <row r="336">
      <c r="A336" t="inlineStr">
        <is>
          <t>Tight Ends (TE)</t>
        </is>
      </c>
      <c r="B336" t="inlineStr">
        <is>
          <t>TE</t>
        </is>
      </c>
      <c r="C336" t="inlineStr">
        <is>
          <t>Ian Thomas</t>
        </is>
      </c>
      <c r="D336" t="inlineStr">
        <is>
          <t>LV</t>
        </is>
      </c>
      <c r="E336" t="n">
        <v>64</v>
      </c>
      <c r="F336" t="inlineStr">
        <is>
          <t>Not in top-2 Week 1 depth-chart role</t>
        </is>
      </c>
    </row>
    <row r="337">
      <c r="A337" t="inlineStr">
        <is>
          <t>Tight Ends (TE)</t>
        </is>
      </c>
      <c r="B337" t="inlineStr">
        <is>
          <t>TE</t>
        </is>
      </c>
      <c r="C337" t="inlineStr">
        <is>
          <t>Grant Calcaterra</t>
        </is>
      </c>
      <c r="D337" t="inlineStr">
        <is>
          <t>PHI</t>
        </is>
      </c>
      <c r="E337" t="n">
        <v>65</v>
      </c>
      <c r="F337" t="inlineStr">
        <is>
          <t>Not in top-2 Week 1 depth-chart role</t>
        </is>
      </c>
    </row>
    <row r="338">
      <c r="A338" t="inlineStr">
        <is>
          <t>Tight Ends (TE)</t>
        </is>
      </c>
      <c r="B338" t="inlineStr">
        <is>
          <t>TE</t>
        </is>
      </c>
      <c r="C338" t="inlineStr">
        <is>
          <t>Drew Ogletree</t>
        </is>
      </c>
      <c r="D338" t="inlineStr">
        <is>
          <t>IND</t>
        </is>
      </c>
      <c r="E338" t="n">
        <v>67</v>
      </c>
      <c r="F338" t="inlineStr">
        <is>
          <t>Not in top-2 Week 1 depth-chart role</t>
        </is>
      </c>
    </row>
    <row r="339">
      <c r="A339" t="inlineStr">
        <is>
          <t>Tight Ends (TE)</t>
        </is>
      </c>
      <c r="B339" t="inlineStr">
        <is>
          <t>TE</t>
        </is>
      </c>
      <c r="C339" t="inlineStr">
        <is>
          <t>Charlie Heck</t>
        </is>
      </c>
      <c r="D339" t="inlineStr">
        <is>
          <t>MIA</t>
        </is>
      </c>
      <c r="E339" t="n">
        <v>68</v>
      </c>
      <c r="F339" t="inlineStr">
        <is>
          <t>Not in top-2 Week 1 depth-chart role</t>
        </is>
      </c>
    </row>
    <row r="340">
      <c r="A340" t="inlineStr">
        <is>
          <t>Tight Ends (TE)</t>
        </is>
      </c>
      <c r="B340" t="inlineStr">
        <is>
          <t>TE</t>
        </is>
      </c>
      <c r="C340" t="inlineStr">
        <is>
          <t>Beau Gardner</t>
        </is>
      </c>
      <c r="D340" t="inlineStr">
        <is>
          <t>CHI</t>
        </is>
      </c>
      <c r="E340" t="n">
        <v>71</v>
      </c>
      <c r="F340" t="inlineStr">
        <is>
          <t>Not in top-2 Week 1 depth-chart role</t>
        </is>
      </c>
    </row>
    <row r="341">
      <c r="A341" t="inlineStr">
        <is>
          <t>Tight Ends (TE)</t>
        </is>
      </c>
      <c r="B341" t="inlineStr">
        <is>
          <t>TE</t>
        </is>
      </c>
      <c r="C341" t="inlineStr">
        <is>
          <t>Connor Hulstein</t>
        </is>
      </c>
      <c r="D341" t="inlineStr">
        <is>
          <t>NYJ</t>
        </is>
      </c>
      <c r="E341" t="n">
        <v>72</v>
      </c>
      <c r="F341" t="inlineStr">
        <is>
          <t>Not in top-2 Week 1 depth-chart role</t>
        </is>
      </c>
    </row>
    <row r="342">
      <c r="A342" t="inlineStr">
        <is>
          <t>Tight Ends (TE)</t>
        </is>
      </c>
      <c r="B342" t="inlineStr">
        <is>
          <t>TE</t>
        </is>
      </c>
      <c r="C342" t="inlineStr">
        <is>
          <t>RJ Maryland</t>
        </is>
      </c>
      <c r="D342" t="inlineStr">
        <is>
          <t>GB</t>
        </is>
      </c>
      <c r="E342" t="n">
        <v>73</v>
      </c>
      <c r="F342" t="inlineStr">
        <is>
          <t>Not in top-2 Week 1 depth-chart role</t>
        </is>
      </c>
    </row>
    <row r="343">
      <c r="A343" t="inlineStr">
        <is>
          <t>Tight Ends (TE)</t>
        </is>
      </c>
      <c r="B343" t="inlineStr">
        <is>
          <t>TE</t>
        </is>
      </c>
      <c r="C343" t="inlineStr">
        <is>
          <t>Connor Heyward</t>
        </is>
      </c>
      <c r="D343" t="inlineStr">
        <is>
          <t>LV</t>
        </is>
      </c>
      <c r="E343" t="n">
        <v>74</v>
      </c>
      <c r="F343" t="inlineStr">
        <is>
          <t>Not in top-2 Week 1 depth-chart role</t>
        </is>
      </c>
    </row>
    <row r="344">
      <c r="A344" t="inlineStr">
        <is>
          <t>Tight Ends (TE)</t>
        </is>
      </c>
      <c r="B344" t="inlineStr">
        <is>
          <t>TE</t>
        </is>
      </c>
      <c r="C344" t="inlineStr">
        <is>
          <t>Ethan Conner</t>
        </is>
      </c>
      <c r="D344" t="inlineStr">
        <is>
          <t>MIA</t>
        </is>
      </c>
      <c r="E344" t="n">
        <v>75</v>
      </c>
      <c r="F344" t="inlineStr">
        <is>
          <t>Not in top-2 Week 1 depth-chart role</t>
        </is>
      </c>
    </row>
    <row r="345">
      <c r="A345" t="inlineStr">
        <is>
          <t>Tight Ends (TE)</t>
        </is>
      </c>
      <c r="B345" t="inlineStr">
        <is>
          <t>TE</t>
        </is>
      </c>
      <c r="C345" t="inlineStr">
        <is>
          <t>Feleipe Franks</t>
        </is>
      </c>
      <c r="D345" t="inlineStr">
        <is>
          <t>CAR</t>
        </is>
      </c>
      <c r="E345" t="n">
        <v>76</v>
      </c>
      <c r="F345" t="inlineStr">
        <is>
          <t>Not in top-2 Week 1 depth-chart role</t>
        </is>
      </c>
    </row>
    <row r="346">
      <c r="A346" t="inlineStr">
        <is>
          <t>Tight Ends (TE)</t>
        </is>
      </c>
      <c r="B346" t="inlineStr">
        <is>
          <t>TE</t>
        </is>
      </c>
      <c r="C346" t="inlineStr">
        <is>
          <t>Devin Culp</t>
        </is>
      </c>
      <c r="D346" t="inlineStr">
        <is>
          <t>TB</t>
        </is>
      </c>
      <c r="E346" t="n">
        <v>77</v>
      </c>
      <c r="F346" t="inlineStr">
        <is>
          <t>Not in top-2 Week 1 depth-chart role</t>
        </is>
      </c>
    </row>
    <row r="347">
      <c r="A347" t="inlineStr">
        <is>
          <t>Tight Ends (TE)</t>
        </is>
      </c>
      <c r="B347" t="inlineStr">
        <is>
          <t>TE</t>
        </is>
      </c>
      <c r="C347" t="inlineStr">
        <is>
          <t>Joshua Simon</t>
        </is>
      </c>
      <c r="D347" t="inlineStr">
        <is>
          <t>WAS</t>
        </is>
      </c>
      <c r="E347" t="n">
        <v>78</v>
      </c>
      <c r="F347" t="inlineStr">
        <is>
          <t>Not in top-2 Week 1 depth-chart role</t>
        </is>
      </c>
    </row>
    <row r="348">
      <c r="A348" t="inlineStr">
        <is>
          <t>Tight Ends (TE)</t>
        </is>
      </c>
      <c r="B348" t="inlineStr">
        <is>
          <t>TE</t>
        </is>
      </c>
      <c r="C348" t="inlineStr">
        <is>
          <t>Messiah Swinson</t>
        </is>
      </c>
      <c r="D348" t="inlineStr">
        <is>
          <t>CLE</t>
        </is>
      </c>
      <c r="E348" t="n">
        <v>79</v>
      </c>
      <c r="F348" t="inlineStr">
        <is>
          <t>Not in top-2 Week 1 depth-chart role</t>
        </is>
      </c>
    </row>
    <row r="349">
      <c r="A349" t="inlineStr">
        <is>
          <t>Tight Ends (TE)</t>
        </is>
      </c>
      <c r="B349" t="inlineStr">
        <is>
          <t>TE</t>
        </is>
      </c>
      <c r="C349" t="inlineStr">
        <is>
          <t>Caden Prieskorn</t>
        </is>
      </c>
      <c r="D349" t="inlineStr">
        <is>
          <t>CAR</t>
        </is>
      </c>
      <c r="E349" t="n">
        <v>80</v>
      </c>
      <c r="F349" t="inlineStr">
        <is>
          <t>Not in top-2 Week 1 depth-chart role</t>
        </is>
      </c>
    </row>
    <row r="350">
      <c r="A350" t="inlineStr">
        <is>
          <t>Tight Ends (TE)</t>
        </is>
      </c>
      <c r="B350" t="inlineStr">
        <is>
          <t>TE</t>
        </is>
      </c>
      <c r="C350" t="inlineStr">
        <is>
          <t>Chase Curtis</t>
        </is>
      </c>
      <c r="D350" t="inlineStr">
        <is>
          <t>NYJ</t>
        </is>
      </c>
      <c r="E350" t="n">
        <v>81</v>
      </c>
      <c r="F350" t="inlineStr">
        <is>
          <t>Not in top-2 Week 1 depth-chart role</t>
        </is>
      </c>
    </row>
    <row r="351">
      <c r="A351" t="inlineStr">
        <is>
          <t>Tight Ends (TE)</t>
        </is>
      </c>
      <c r="B351" t="inlineStr">
        <is>
          <t>TE</t>
        </is>
      </c>
      <c r="C351" t="inlineStr">
        <is>
          <t>Dae'Quan Wright</t>
        </is>
      </c>
      <c r="D351" t="inlineStr">
        <is>
          <t>CLE</t>
        </is>
      </c>
      <c r="E351" t="n">
        <v>82</v>
      </c>
      <c r="F351" t="inlineStr">
        <is>
          <t>Not in top-2 Week 1 depth-chart role</t>
        </is>
      </c>
    </row>
    <row r="352">
      <c r="A352" t="inlineStr">
        <is>
          <t>Tight Ends (TE)</t>
        </is>
      </c>
      <c r="B352" t="inlineStr">
        <is>
          <t>TE</t>
        </is>
      </c>
      <c r="C352" t="inlineStr">
        <is>
          <t>Chris Myarick</t>
        </is>
      </c>
      <c r="D352" t="inlineStr">
        <is>
          <t>LV</t>
        </is>
      </c>
      <c r="E352" t="n">
        <v>83</v>
      </c>
      <c r="F352" t="inlineStr">
        <is>
          <t>Not in top-2 Week 1 depth-chart role</t>
        </is>
      </c>
    </row>
    <row r="353">
      <c r="A353" t="inlineStr">
        <is>
          <t>Tight Ends (TE)</t>
        </is>
      </c>
      <c r="B353" t="inlineStr">
        <is>
          <t>TE</t>
        </is>
      </c>
      <c r="C353" t="inlineStr">
        <is>
          <t>Luke Lachey</t>
        </is>
      </c>
      <c r="D353" t="inlineStr">
        <is>
          <t>GB</t>
        </is>
      </c>
      <c r="E353" t="n">
        <v>84</v>
      </c>
      <c r="F353" t="inlineStr">
        <is>
          <t>Not in top-2 Week 1 depth-chart role</t>
        </is>
      </c>
    </row>
    <row r="354">
      <c r="A354" t="inlineStr">
        <is>
          <t>Tight Ends (TE)</t>
        </is>
      </c>
      <c r="B354" t="inlineStr">
        <is>
          <t>TE</t>
        </is>
      </c>
      <c r="C354" t="inlineStr">
        <is>
          <t>Matt Orzech</t>
        </is>
      </c>
      <c r="D354" t="inlineStr">
        <is>
          <t>GB</t>
        </is>
      </c>
      <c r="E354" t="n">
        <v>85</v>
      </c>
      <c r="F354" t="inlineStr">
        <is>
          <t>Not in top-2 Week 1 depth-chart role</t>
        </is>
      </c>
    </row>
    <row r="355">
      <c r="A355" t="inlineStr">
        <is>
          <t>Tight Ends (TE)</t>
        </is>
      </c>
      <c r="B355" t="inlineStr">
        <is>
          <t>TE</t>
        </is>
      </c>
      <c r="C355" t="inlineStr">
        <is>
          <t>Stephen Carlson</t>
        </is>
      </c>
      <c r="D355" t="inlineStr">
        <is>
          <t>CHI</t>
        </is>
      </c>
      <c r="E355" t="n">
        <v>86</v>
      </c>
      <c r="F355" t="inlineStr">
        <is>
          <t>Not in top-2 Week 1 depth-chart role</t>
        </is>
      </c>
    </row>
    <row r="356">
      <c r="A356" t="inlineStr">
        <is>
          <t>Tight Ends (TE)</t>
        </is>
      </c>
      <c r="B356" t="inlineStr">
        <is>
          <t>TE</t>
        </is>
      </c>
      <c r="C356" t="inlineStr">
        <is>
          <t>Carter Runyon</t>
        </is>
      </c>
      <c r="D356" t="inlineStr">
        <is>
          <t>LV</t>
        </is>
      </c>
      <c r="E356" t="n">
        <v>87</v>
      </c>
      <c r="F356" t="inlineStr">
        <is>
          <t>Not in top-2 Week 1 depth-chart role</t>
        </is>
      </c>
    </row>
    <row r="357">
      <c r="A357" t="inlineStr">
        <is>
          <t>Tight Ends (TE)</t>
        </is>
      </c>
      <c r="B357" t="inlineStr">
        <is>
          <t>TE</t>
        </is>
      </c>
      <c r="C357" t="inlineStr">
        <is>
          <t>Carsen Ryan</t>
        </is>
      </c>
      <c r="D357" t="inlineStr">
        <is>
          <t>CLE</t>
        </is>
      </c>
      <c r="E357" t="n">
        <v>88</v>
      </c>
      <c r="F357" t="inlineStr">
        <is>
          <t>Not in top-2 Week 1 depth-chart role</t>
        </is>
      </c>
    </row>
    <row r="358">
      <c r="A358" t="inlineStr">
        <is>
          <t>Tight Ends (TE)</t>
        </is>
      </c>
      <c r="B358" t="inlineStr">
        <is>
          <t>TE</t>
        </is>
      </c>
      <c r="C358" t="inlineStr">
        <is>
          <t>Layne Pryor</t>
        </is>
      </c>
      <c r="D358" t="inlineStr">
        <is>
          <t>HOU</t>
        </is>
      </c>
      <c r="E358" t="n">
        <v>89</v>
      </c>
      <c r="F358" t="inlineStr">
        <is>
          <t>Not in top-2 Week 1 depth-chart role</t>
        </is>
      </c>
    </row>
    <row r="359">
      <c r="A359" t="inlineStr">
        <is>
          <t>Tight Ends (TE)</t>
        </is>
      </c>
      <c r="B359" t="inlineStr">
        <is>
          <t>TE</t>
        </is>
      </c>
      <c r="C359" t="inlineStr">
        <is>
          <t>JJ Galbreath</t>
        </is>
      </c>
      <c r="D359" t="inlineStr">
        <is>
          <t>IND</t>
        </is>
      </c>
      <c r="E359" t="n">
        <v>90</v>
      </c>
      <c r="F359" t="inlineStr">
        <is>
          <t>Not in top-2 Week 1 depth-chart role</t>
        </is>
      </c>
    </row>
    <row r="360">
      <c r="A360" t="inlineStr">
        <is>
          <t>Tight Ends (TE)</t>
        </is>
      </c>
      <c r="B360" t="inlineStr">
        <is>
          <t>TE</t>
        </is>
      </c>
      <c r="C360" t="inlineStr">
        <is>
          <t>Bryson Nesbit</t>
        </is>
      </c>
      <c r="D360" t="inlineStr">
        <is>
          <t>MIN</t>
        </is>
      </c>
      <c r="E360" t="n">
        <v>91</v>
      </c>
      <c r="F360" t="inlineStr">
        <is>
          <t>Not in top-2 Week 1 depth-chart role</t>
        </is>
      </c>
    </row>
    <row r="361">
      <c r="A361" t="inlineStr">
        <is>
          <t>Tight Ends (TE)</t>
        </is>
      </c>
      <c r="B361" t="inlineStr">
        <is>
          <t>TE</t>
        </is>
      </c>
      <c r="C361" t="inlineStr">
        <is>
          <t>Jerand Bradley</t>
        </is>
      </c>
      <c r="D361" t="inlineStr">
        <is>
          <t>LAC</t>
        </is>
      </c>
      <c r="E361" t="n">
        <v>92</v>
      </c>
      <c r="F361" t="inlineStr">
        <is>
          <t>Not in top-2 Week 1 depth-chart role</t>
        </is>
      </c>
    </row>
    <row r="362">
      <c r="A362" t="inlineStr">
        <is>
          <t>Tight Ends (TE)</t>
        </is>
      </c>
      <c r="B362" t="inlineStr">
        <is>
          <t>TE</t>
        </is>
      </c>
      <c r="C362" t="inlineStr">
        <is>
          <t>Tip Reiman</t>
        </is>
      </c>
      <c r="D362" t="inlineStr">
        <is>
          <t>ARI</t>
        </is>
      </c>
      <c r="E362" t="n">
        <v>93</v>
      </c>
      <c r="F362" t="inlineStr">
        <is>
          <t>Not in top-2 Week 1 depth-chart role</t>
        </is>
      </c>
    </row>
    <row r="363">
      <c r="A363" t="inlineStr">
        <is>
          <t>Tight Ends (TE)</t>
        </is>
      </c>
      <c r="B363" t="inlineStr">
        <is>
          <t>TE</t>
        </is>
      </c>
      <c r="C363" t="inlineStr">
        <is>
          <t>Cam Grandy</t>
        </is>
      </c>
      <c r="D363" t="inlineStr">
        <is>
          <t>MIN</t>
        </is>
      </c>
      <c r="E363" t="n">
        <v>94</v>
      </c>
      <c r="F363" t="inlineStr">
        <is>
          <t>Not in top-2 Week 1 depth-chart role</t>
        </is>
      </c>
    </row>
    <row r="364">
      <c r="A364" t="inlineStr">
        <is>
          <t>Tight Ends (TE)</t>
        </is>
      </c>
      <c r="B364" t="inlineStr">
        <is>
          <t>TE</t>
        </is>
      </c>
      <c r="C364" t="inlineStr">
        <is>
          <t>Kenny Fletcher Jr.</t>
        </is>
      </c>
      <c r="D364" t="inlineStr">
        <is>
          <t>IND</t>
        </is>
      </c>
      <c r="E364" t="n">
        <v>95</v>
      </c>
      <c r="F364" t="inlineStr">
        <is>
          <t>Not in top-2 Week 1 depth-chart role</t>
        </is>
      </c>
    </row>
    <row r="365">
      <c r="A365" t="inlineStr">
        <is>
          <t>Tight Ends (TE)</t>
        </is>
      </c>
      <c r="B365" t="inlineStr">
        <is>
          <t>TE</t>
        </is>
      </c>
      <c r="C365" t="inlineStr">
        <is>
          <t>Carson Towt</t>
        </is>
      </c>
      <c r="D365" t="inlineStr">
        <is>
          <t>IND</t>
        </is>
      </c>
      <c r="E365" t="n">
        <v>96</v>
      </c>
      <c r="F365" t="inlineStr">
        <is>
          <t>Not in top-2 Week 1 depth-chart role</t>
        </is>
      </c>
    </row>
    <row r="366">
      <c r="A366" t="inlineStr">
        <is>
          <t>Tight Ends (TE)</t>
        </is>
      </c>
      <c r="B366" t="inlineStr">
        <is>
          <t>TE</t>
        </is>
      </c>
      <c r="C366" t="inlineStr">
        <is>
          <t>Robert Tonyan</t>
        </is>
      </c>
      <c r="D366" t="inlineStr">
        <is>
          <t>PIT</t>
        </is>
      </c>
      <c r="E366" t="n">
        <v>97</v>
      </c>
      <c r="F366" t="inlineStr">
        <is>
          <t>Not in top-2 Week 1 depth-chart role</t>
        </is>
      </c>
    </row>
    <row r="367">
      <c r="A367" t="inlineStr">
        <is>
          <t>Tight Ends (TE)</t>
        </is>
      </c>
      <c r="B367" t="inlineStr">
        <is>
          <t>TE</t>
        </is>
      </c>
      <c r="C367" t="inlineStr">
        <is>
          <t>Kenny Yeboah</t>
        </is>
      </c>
      <c r="D367" t="inlineStr">
        <is>
          <t>ARI</t>
        </is>
      </c>
      <c r="E367" t="n">
        <v>98</v>
      </c>
      <c r="F367" t="inlineStr">
        <is>
          <t>Not in top-2 Week 1 depth-chart role</t>
        </is>
      </c>
    </row>
    <row r="368">
      <c r="A368" t="inlineStr">
        <is>
          <t>Tight Ends (TE)</t>
        </is>
      </c>
      <c r="B368" t="inlineStr">
        <is>
          <t>TE</t>
        </is>
      </c>
      <c r="C368" t="inlineStr">
        <is>
          <t>Jaheim Bell</t>
        </is>
      </c>
      <c r="D368" t="inlineStr">
        <is>
          <t>PIT</t>
        </is>
      </c>
      <c r="E368" t="n">
        <v>99</v>
      </c>
      <c r="F368" t="inlineStr">
        <is>
          <t>Not in top-2 Week 1 depth-chart role</t>
        </is>
      </c>
    </row>
    <row r="369">
      <c r="A369" t="inlineStr">
        <is>
          <t>Tight Ends (TE)</t>
        </is>
      </c>
      <c r="B369" t="inlineStr">
        <is>
          <t>TE</t>
        </is>
      </c>
      <c r="C369" t="inlineStr">
        <is>
          <t>Patrick Gurd</t>
        </is>
      </c>
      <c r="D369" t="inlineStr">
        <is>
          <t>LV</t>
        </is>
      </c>
      <c r="E369" t="n">
        <v>100</v>
      </c>
      <c r="F369" t="inlineStr">
        <is>
          <t>Not in top-2 Week 1 depth-chart role</t>
        </is>
      </c>
    </row>
    <row r="370">
      <c r="A370" t="inlineStr">
        <is>
          <t>Tight Ends (TE)</t>
        </is>
      </c>
      <c r="B370" t="inlineStr">
        <is>
          <t>TE</t>
        </is>
      </c>
      <c r="C370" t="inlineStr">
        <is>
          <t>Joe Royer</t>
        </is>
      </c>
      <c r="D370" t="inlineStr">
        <is>
          <t>CLE</t>
        </is>
      </c>
      <c r="E370" t="n">
        <v>101</v>
      </c>
      <c r="F370" t="inlineStr">
        <is>
          <t>Not in top-2 Week 1 depth-chart role</t>
        </is>
      </c>
    </row>
    <row r="371">
      <c r="A371" t="inlineStr">
        <is>
          <t>Tight Ends (TE)</t>
        </is>
      </c>
      <c r="B371" t="inlineStr">
        <is>
          <t>TE</t>
        </is>
      </c>
      <c r="C371" t="inlineStr">
        <is>
          <t>Zach Horton</t>
        </is>
      </c>
      <c r="D371" t="inlineStr">
        <is>
          <t>DET</t>
        </is>
      </c>
      <c r="E371" t="n">
        <v>102</v>
      </c>
      <c r="F371" t="inlineStr">
        <is>
          <t>Not in top-2 Week 1 depth-chart role</t>
        </is>
      </c>
    </row>
    <row r="372">
      <c r="A372" t="inlineStr">
        <is>
          <t>Tight Ends (TE)</t>
        </is>
      </c>
      <c r="B372" t="inlineStr">
        <is>
          <t>TE</t>
        </is>
      </c>
      <c r="C372" t="inlineStr">
        <is>
          <t>Johnny Pascuzzi</t>
        </is>
      </c>
      <c r="D372" t="inlineStr">
        <is>
          <t>LAC</t>
        </is>
      </c>
      <c r="E372" t="n">
        <v>103</v>
      </c>
      <c r="F372" t="inlineStr">
        <is>
          <t>Not in top-2 Week 1 depth-chart role</t>
        </is>
      </c>
    </row>
    <row r="373">
      <c r="A373" t="inlineStr">
        <is>
          <t>Tight Ends (TE)</t>
        </is>
      </c>
      <c r="B373" t="inlineStr">
        <is>
          <t>TE</t>
        </is>
      </c>
      <c r="C373" t="inlineStr">
        <is>
          <t>Will Mallory</t>
        </is>
      </c>
      <c r="D373" t="inlineStr">
        <is>
          <t>IND</t>
        </is>
      </c>
      <c r="E373" t="n">
        <v>104</v>
      </c>
      <c r="F373" t="inlineStr">
        <is>
          <t>Not in top-2 Week 1 depth-chart role</t>
        </is>
      </c>
    </row>
    <row r="374">
      <c r="A374" t="inlineStr">
        <is>
          <t>Tight Ends (TE)</t>
        </is>
      </c>
      <c r="B374" t="inlineStr">
        <is>
          <t>TE</t>
        </is>
      </c>
      <c r="C374" t="inlineStr">
        <is>
          <t>William Wagner</t>
        </is>
      </c>
      <c r="D374" t="inlineStr">
        <is>
          <t>CIN</t>
        </is>
      </c>
      <c r="E374" t="n">
        <v>105</v>
      </c>
      <c r="F374" t="inlineStr">
        <is>
          <t>Not in top-2 Week 1 depth-chart role</t>
        </is>
      </c>
    </row>
    <row r="375">
      <c r="A375" t="inlineStr">
        <is>
          <t>Tight Ends (TE)</t>
        </is>
      </c>
      <c r="B375" t="inlineStr">
        <is>
          <t>TE</t>
        </is>
      </c>
      <c r="C375" t="inlineStr">
        <is>
          <t>Cal Adomitis</t>
        </is>
      </c>
      <c r="D375" t="inlineStr">
        <is>
          <t>GB</t>
        </is>
      </c>
      <c r="E375" t="n">
        <v>106</v>
      </c>
      <c r="F375" t="inlineStr">
        <is>
          <t>Not in top-2 Week 1 depth-chart role</t>
        </is>
      </c>
    </row>
    <row r="376">
      <c r="A376" t="inlineStr">
        <is>
          <t>Tight Ends (TE)</t>
        </is>
      </c>
      <c r="B376" t="inlineStr">
        <is>
          <t>TE</t>
        </is>
      </c>
      <c r="C376" t="inlineStr">
        <is>
          <t>Drew Biber</t>
        </is>
      </c>
      <c r="D376" t="inlineStr">
        <is>
          <t>CLE</t>
        </is>
      </c>
      <c r="E376" t="n">
        <v>107</v>
      </c>
      <c r="F376" t="inlineStr">
        <is>
          <t>Not in top-2 Week 1 depth-chart role</t>
        </is>
      </c>
    </row>
    <row r="377">
      <c r="A377" t="inlineStr">
        <is>
          <t>Tight Ends (TE)</t>
        </is>
      </c>
      <c r="B377" t="inlineStr">
        <is>
          <t>TE</t>
        </is>
      </c>
      <c r="C377" t="inlineStr">
        <is>
          <t>Brevin Jordan</t>
        </is>
      </c>
      <c r="D377" t="inlineStr">
        <is>
          <t>HOU</t>
        </is>
      </c>
      <c r="E377" t="n">
        <v>108</v>
      </c>
      <c r="F377" t="inlineStr">
        <is>
          <t>Not in top-2 Week 1 depth-chart role</t>
        </is>
      </c>
    </row>
    <row r="378">
      <c r="A378" t="inlineStr">
        <is>
          <t>Tight Ends (TE)</t>
        </is>
      </c>
      <c r="B378" t="inlineStr">
        <is>
          <t>TE</t>
        </is>
      </c>
      <c r="C378" t="inlineStr">
        <is>
          <t>Andrew DePaola</t>
        </is>
      </c>
      <c r="D378" t="inlineStr">
        <is>
          <t>MIN</t>
        </is>
      </c>
      <c r="E378" t="n">
        <v>109</v>
      </c>
      <c r="F378" t="inlineStr">
        <is>
          <t>Not in top-2 Week 1 depth-chart role</t>
        </is>
      </c>
    </row>
    <row r="379">
      <c r="A379" t="inlineStr">
        <is>
          <t>Tight Ends (TE)</t>
        </is>
      </c>
      <c r="B379" t="inlineStr">
        <is>
          <t>TE</t>
        </is>
      </c>
      <c r="C379" t="inlineStr">
        <is>
          <t>Rocco Underwood</t>
        </is>
      </c>
      <c r="D379" t="inlineStr">
        <is>
          <t>PHI</t>
        </is>
      </c>
      <c r="E379" t="n">
        <v>110</v>
      </c>
      <c r="F379" t="inlineStr">
        <is>
          <t>Not in top-2 Week 1 depth-chart role</t>
        </is>
      </c>
    </row>
    <row r="380">
      <c r="A380" t="inlineStr">
        <is>
          <t>Tight Ends (TE)</t>
        </is>
      </c>
      <c r="B380" t="inlineStr">
        <is>
          <t>TE</t>
        </is>
      </c>
      <c r="C380" t="inlineStr">
        <is>
          <t>Teagan Quitoriano</t>
        </is>
      </c>
      <c r="D380" t="inlineStr">
        <is>
          <t>ARI</t>
        </is>
      </c>
      <c r="E380" t="n">
        <v>111</v>
      </c>
      <c r="F380" t="inlineStr">
        <is>
          <t>Not in top-2 Week 1 depth-chart role</t>
        </is>
      </c>
    </row>
    <row r="381">
      <c r="A381" t="inlineStr">
        <is>
          <t>Tight Ends (TE)</t>
        </is>
      </c>
      <c r="B381" t="inlineStr">
        <is>
          <t>TE</t>
        </is>
      </c>
      <c r="C381" t="inlineStr">
        <is>
          <t>Jack Driscoll</t>
        </is>
      </c>
      <c r="D381" t="inlineStr">
        <is>
          <t>PIT</t>
        </is>
      </c>
      <c r="E381" t="n">
        <v>112</v>
      </c>
      <c r="F381" t="inlineStr">
        <is>
          <t>Not in top-2 Week 1 depth-chart role</t>
        </is>
      </c>
    </row>
    <row r="382">
      <c r="A382" t="inlineStr">
        <is>
          <t>Tight Ends (TE)</t>
        </is>
      </c>
      <c r="B382" t="inlineStr">
        <is>
          <t>TE</t>
        </is>
      </c>
      <c r="C382" t="inlineStr">
        <is>
          <t>Jack Stoll</t>
        </is>
      </c>
      <c r="D382" t="inlineStr">
        <is>
          <t>CLE</t>
        </is>
      </c>
      <c r="E382" t="n">
        <v>113</v>
      </c>
      <c r="F382" t="inlineStr">
        <is>
          <t>Not in top-2 Week 1 depth-chart role</t>
        </is>
      </c>
    </row>
    <row r="383">
      <c r="A383" t="inlineStr">
        <is>
          <t>Tight Ends (TE)</t>
        </is>
      </c>
      <c r="B383" t="inlineStr">
        <is>
          <t>TE</t>
        </is>
      </c>
      <c r="C383" t="inlineStr">
        <is>
          <t>Drake Dabney</t>
        </is>
      </c>
      <c r="D383" t="inlineStr">
        <is>
          <t>GB</t>
        </is>
      </c>
      <c r="E383" t="n">
        <v>114</v>
      </c>
      <c r="F383" t="inlineStr">
        <is>
          <t>Not in top-2 Week 1 depth-chart role</t>
        </is>
      </c>
    </row>
    <row r="384">
      <c r="A384" t="inlineStr">
        <is>
          <t>Tight Ends (TE)</t>
        </is>
      </c>
      <c r="B384" t="inlineStr">
        <is>
          <t>TE</t>
        </is>
      </c>
      <c r="C384" t="inlineStr">
        <is>
          <t>Matt Hibner</t>
        </is>
      </c>
      <c r="D384" t="inlineStr">
        <is>
          <t>BAL</t>
        </is>
      </c>
      <c r="E384" t="n">
        <v>115</v>
      </c>
      <c r="F384" t="inlineStr">
        <is>
          <t>Not in top-2 Week 1 depth-chart role</t>
        </is>
      </c>
    </row>
    <row r="385">
      <c r="A385" t="inlineStr">
        <is>
          <t>Tight Ends (TE)</t>
        </is>
      </c>
      <c r="B385" t="inlineStr">
        <is>
          <t>TE</t>
        </is>
      </c>
      <c r="C385" t="inlineStr">
        <is>
          <t>Gavin Bartholomew</t>
        </is>
      </c>
      <c r="D385" t="inlineStr">
        <is>
          <t>MIN</t>
        </is>
      </c>
      <c r="E385" t="n">
        <v>117</v>
      </c>
      <c r="F385" t="inlineStr">
        <is>
          <t>Not in top-2 Week 1 depth-chart role</t>
        </is>
      </c>
    </row>
    <row r="386">
      <c r="A386" t="inlineStr">
        <is>
          <t>Tight Ends (TE)</t>
        </is>
      </c>
      <c r="B386" t="inlineStr">
        <is>
          <t>TE</t>
        </is>
      </c>
      <c r="C386" t="inlineStr">
        <is>
          <t>Kylen Granson</t>
        </is>
      </c>
      <c r="D386" t="inlineStr">
        <is>
          <t>TEN</t>
        </is>
      </c>
      <c r="E386" t="n">
        <v>118</v>
      </c>
      <c r="F386" t="inlineStr">
        <is>
          <t>Not in top-2 Week 1 depth-chart role</t>
        </is>
      </c>
    </row>
    <row r="387">
      <c r="A387" t="inlineStr">
        <is>
          <t>Tight Ends (TE)</t>
        </is>
      </c>
      <c r="B387" t="inlineStr">
        <is>
          <t>TE</t>
        </is>
      </c>
      <c r="C387" t="inlineStr">
        <is>
          <t>Lawrence Cager</t>
        </is>
      </c>
      <c r="D387" t="inlineStr">
        <is>
          <t>WAS</t>
        </is>
      </c>
      <c r="E387" t="n">
        <v>119</v>
      </c>
      <c r="F387" t="inlineStr">
        <is>
          <t>Not in top-2 Week 1 depth-chart role</t>
        </is>
      </c>
    </row>
    <row r="388">
      <c r="A388" t="inlineStr">
        <is>
          <t>Tight Ends (TE)</t>
        </is>
      </c>
      <c r="B388" t="inlineStr">
        <is>
          <t>TE</t>
        </is>
      </c>
      <c r="C388" t="inlineStr">
        <is>
          <t>Ty Pezza</t>
        </is>
      </c>
      <c r="D388" t="inlineStr">
        <is>
          <t>BAL</t>
        </is>
      </c>
      <c r="E388" t="n">
        <v>120</v>
      </c>
      <c r="F388" t="inlineStr">
        <is>
          <t>Not in top-2 Week 1 depth-chart role</t>
        </is>
      </c>
    </row>
    <row r="389">
      <c r="A389" t="inlineStr">
        <is>
          <t>Tight Ends (TE)</t>
        </is>
      </c>
      <c r="B389" t="inlineStr">
        <is>
          <t>TE</t>
        </is>
      </c>
      <c r="C389" t="inlineStr">
        <is>
          <t>Evan Svoboda</t>
        </is>
      </c>
      <c r="D389" t="inlineStr">
        <is>
          <t>LAC</t>
        </is>
      </c>
      <c r="E389" t="n">
        <v>121</v>
      </c>
      <c r="F389" t="inlineStr">
        <is>
          <t>Not in top-2 Week 1 depth-chart role</t>
        </is>
      </c>
    </row>
    <row r="390">
      <c r="A390" t="inlineStr">
        <is>
          <t>Tight Ends (TE)</t>
        </is>
      </c>
      <c r="B390" t="inlineStr">
        <is>
          <t>TE</t>
        </is>
      </c>
      <c r="C390" t="inlineStr">
        <is>
          <t>Albert Okwuegbunam Jr.</t>
        </is>
      </c>
      <c r="D390" t="inlineStr">
        <is>
          <t>LV</t>
        </is>
      </c>
      <c r="E390" t="n">
        <v>122</v>
      </c>
      <c r="F390" t="inlineStr">
        <is>
          <t>Not in top-2 Week 1 depth-chart role</t>
        </is>
      </c>
    </row>
    <row r="391">
      <c r="A391" t="inlineStr">
        <is>
          <t>Tight Ends (TE)</t>
        </is>
      </c>
      <c r="B391" t="inlineStr">
        <is>
          <t>TE</t>
        </is>
      </c>
      <c r="C391" t="inlineStr">
        <is>
          <t>Jack Velling</t>
        </is>
      </c>
      <c r="D391" t="inlineStr">
        <is>
          <t>ATL</t>
        </is>
      </c>
      <c r="E391" t="n">
        <v>123</v>
      </c>
      <c r="F391" t="inlineStr">
        <is>
          <t>Not in top-2 Week 1 depth-chart role</t>
        </is>
      </c>
    </row>
    <row r="392">
      <c r="A392" t="inlineStr">
        <is>
          <t>Tight Ends (TE)</t>
        </is>
      </c>
      <c r="B392" t="inlineStr">
        <is>
          <t>TE</t>
        </is>
      </c>
      <c r="C392" t="inlineStr">
        <is>
          <t>Bauer Sharp</t>
        </is>
      </c>
      <c r="D392" t="inlineStr">
        <is>
          <t>TB</t>
        </is>
      </c>
      <c r="E392" t="n">
        <v>124</v>
      </c>
      <c r="F392" t="inlineStr">
        <is>
          <t>Not in top-2 Week 1 depth-chart role</t>
        </is>
      </c>
    </row>
    <row r="393">
      <c r="A393" t="inlineStr">
        <is>
          <t>Tight Ends (TE)</t>
        </is>
      </c>
      <c r="B393" t="inlineStr">
        <is>
          <t>TE</t>
        </is>
      </c>
      <c r="C393" t="inlineStr">
        <is>
          <t>E.J. Jenkins</t>
        </is>
      </c>
      <c r="D393" t="inlineStr">
        <is>
          <t>PHI</t>
        </is>
      </c>
      <c r="E393" t="n">
        <v>125</v>
      </c>
      <c r="F393" t="inlineStr">
        <is>
          <t>Not in top-2 Week 1 depth-chart role</t>
        </is>
      </c>
    </row>
    <row r="394">
      <c r="A394" t="inlineStr">
        <is>
          <t>Tight Ends (TE)</t>
        </is>
      </c>
      <c r="B394" t="inlineStr">
        <is>
          <t>TE</t>
        </is>
      </c>
      <c r="C394" t="inlineStr">
        <is>
          <t>Chamon Metayer</t>
        </is>
      </c>
      <c r="D394" t="inlineStr">
        <is>
          <t>CAR</t>
        </is>
      </c>
      <c r="E394" t="n">
        <v>126</v>
      </c>
      <c r="F394" t="inlineStr">
        <is>
          <t>Not in top-2 Week 1 depth-chart role</t>
        </is>
      </c>
    </row>
    <row r="395">
      <c r="A395" t="inlineStr">
        <is>
          <t>Tight Ends (TE)</t>
        </is>
      </c>
      <c r="B395" t="inlineStr">
        <is>
          <t>TE</t>
        </is>
      </c>
      <c r="C395" t="inlineStr">
        <is>
          <t>Josh Kattus</t>
        </is>
      </c>
      <c r="D395" t="inlineStr">
        <is>
          <t>CIN</t>
        </is>
      </c>
      <c r="E395" t="n">
        <v>127</v>
      </c>
      <c r="F395" t="inlineStr">
        <is>
          <t>Not in top-2 Week 1 depth-chart role</t>
        </is>
      </c>
    </row>
    <row r="396">
      <c r="A396" t="inlineStr">
        <is>
          <t>Tight Ends (TE)</t>
        </is>
      </c>
      <c r="B396" t="inlineStr">
        <is>
          <t>TE</t>
        </is>
      </c>
      <c r="C396" t="inlineStr">
        <is>
          <t>Rivaldo Fairweather</t>
        </is>
      </c>
      <c r="D396" t="inlineStr">
        <is>
          <t>ARI</t>
        </is>
      </c>
      <c r="E396" t="n">
        <v>128</v>
      </c>
      <c r="F396" t="inlineStr">
        <is>
          <t>Not in top-2 Week 1 depth-chart role</t>
        </is>
      </c>
    </row>
    <row r="397">
      <c r="A397" t="inlineStr">
        <is>
          <t>Tight Ends (TE)</t>
        </is>
      </c>
      <c r="B397" t="inlineStr">
        <is>
          <t>TE</t>
        </is>
      </c>
      <c r="C397" t="inlineStr">
        <is>
          <t>Andrew Beck</t>
        </is>
      </c>
      <c r="D397" t="inlineStr">
        <is>
          <t>NYJ</t>
        </is>
      </c>
      <c r="E397" t="n">
        <v>129</v>
      </c>
      <c r="F397" t="inlineStr">
        <is>
          <t>Not in top-2 Week 1 depth-chart role</t>
        </is>
      </c>
    </row>
    <row r="398">
      <c r="A398" t="inlineStr">
        <is>
          <t>Tight Ends (TE)</t>
        </is>
      </c>
      <c r="B398" t="inlineStr">
        <is>
          <t>TE</t>
        </is>
      </c>
      <c r="C398" t="inlineStr">
        <is>
          <t>Thomas Yassmin</t>
        </is>
      </c>
      <c r="D398" t="inlineStr">
        <is>
          <t>GB</t>
        </is>
      </c>
      <c r="E398" t="n">
        <v>130</v>
      </c>
      <c r="F398" t="inlineStr">
        <is>
          <t>Not in top-2 Week 1 depth-chart role</t>
        </is>
      </c>
    </row>
    <row r="399">
      <c r="A399" t="inlineStr">
        <is>
          <t>Tight Ends (TE)</t>
        </is>
      </c>
      <c r="B399" t="inlineStr">
        <is>
          <t>TE</t>
        </is>
      </c>
      <c r="C399" t="inlineStr">
        <is>
          <t>Cole Turner</t>
        </is>
      </c>
      <c r="D399" t="inlineStr">
        <is>
          <t>MIA</t>
        </is>
      </c>
      <c r="E399" t="n">
        <v>131</v>
      </c>
      <c r="F399" t="inlineStr">
        <is>
          <t>Not in top-2 Week 1 depth-chart role</t>
        </is>
      </c>
    </row>
    <row r="400">
      <c r="A400" t="inlineStr">
        <is>
          <t>Tight Ends (TE)</t>
        </is>
      </c>
      <c r="B400" t="inlineStr">
        <is>
          <t>TE</t>
        </is>
      </c>
      <c r="C400" t="inlineStr">
        <is>
          <t>Sean McKeon</t>
        </is>
      </c>
      <c r="D400" t="inlineStr">
        <is>
          <t>IND</t>
        </is>
      </c>
      <c r="E400" t="n">
        <v>132</v>
      </c>
      <c r="F400" t="inlineStr">
        <is>
          <t>Not in top-2 Week 1 depth-chart role</t>
        </is>
      </c>
    </row>
    <row r="401">
      <c r="A401" t="inlineStr">
        <is>
          <t>Tight Ends (TE)</t>
        </is>
      </c>
      <c r="B401" t="inlineStr">
        <is>
          <t>TE</t>
        </is>
      </c>
      <c r="C401" t="inlineStr">
        <is>
          <t>Josh Cuevas</t>
        </is>
      </c>
      <c r="D401" t="inlineStr">
        <is>
          <t>BAL</t>
        </is>
      </c>
      <c r="E401" t="n">
        <v>133</v>
      </c>
      <c r="F401" t="inlineStr">
        <is>
          <t>Not in top-2 Week 1 depth-chart role</t>
        </is>
      </c>
    </row>
    <row r="402">
      <c r="A402" t="inlineStr">
        <is>
          <t>Tight Ends (TE)</t>
        </is>
      </c>
      <c r="B402" t="inlineStr">
        <is>
          <t>TE</t>
        </is>
      </c>
      <c r="C402" t="inlineStr">
        <is>
          <t>Ko Kieft</t>
        </is>
      </c>
      <c r="D402" t="inlineStr">
        <is>
          <t>TB</t>
        </is>
      </c>
      <c r="E402" t="n">
        <v>134</v>
      </c>
      <c r="F402" t="inlineStr">
        <is>
          <t>Not in top-2 Week 1 depth-chart role</t>
        </is>
      </c>
    </row>
    <row r="403">
      <c r="A403" t="inlineStr">
        <is>
          <t>Tight Ends (TE)</t>
        </is>
      </c>
      <c r="B403" t="inlineStr">
        <is>
          <t>TE</t>
        </is>
      </c>
      <c r="C403" t="inlineStr">
        <is>
          <t>Jameson Geers</t>
        </is>
      </c>
      <c r="D403" t="inlineStr">
        <is>
          <t>ARI</t>
        </is>
      </c>
      <c r="E403" t="n">
        <v>135</v>
      </c>
      <c r="F403" t="inlineStr">
        <is>
          <t>Not in top-2 Week 1 depth-chart role</t>
        </is>
      </c>
    </row>
    <row r="404">
      <c r="A404" t="inlineStr">
        <is>
          <t>Tight Ends (TE)</t>
        </is>
      </c>
      <c r="B404" t="inlineStr">
        <is>
          <t>TE</t>
        </is>
      </c>
      <c r="C404" t="inlineStr">
        <is>
          <t>Riley Nowakowski</t>
        </is>
      </c>
      <c r="D404" t="inlineStr">
        <is>
          <t>PIT</t>
        </is>
      </c>
      <c r="E404" t="n">
        <v>136</v>
      </c>
      <c r="F404" t="inlineStr">
        <is>
          <t>Not in top-2 Week 1 depth-chart role</t>
        </is>
      </c>
    </row>
    <row r="405">
      <c r="A405" t="inlineStr">
        <is>
          <t>Tight Ends (TE)</t>
        </is>
      </c>
      <c r="B405" t="inlineStr">
        <is>
          <t>TE</t>
        </is>
      </c>
      <c r="C405" t="inlineStr">
        <is>
          <t>Brenden Bates</t>
        </is>
      </c>
      <c r="D405" t="inlineStr">
        <is>
          <t>CLE</t>
        </is>
      </c>
      <c r="E405" t="n">
        <v>137</v>
      </c>
      <c r="F405" t="inlineStr">
        <is>
          <t>Not in top-2 Week 1 depth-chart role</t>
        </is>
      </c>
    </row>
    <row r="406">
      <c r="A406" t="inlineStr">
        <is>
          <t>Tight Ends (TE)</t>
        </is>
      </c>
      <c r="B406" t="inlineStr">
        <is>
          <t>TE</t>
        </is>
      </c>
      <c r="C406" t="inlineStr">
        <is>
          <t>Nikola Kalinic</t>
        </is>
      </c>
      <c r="D406" t="inlineStr">
        <is>
          <t>CHI</t>
        </is>
      </c>
      <c r="E406" t="n">
        <v>138</v>
      </c>
      <c r="F406" t="inlineStr">
        <is>
          <t>Not in top-2 Week 1 depth-chart role</t>
        </is>
      </c>
    </row>
    <row r="407">
      <c r="A407" t="inlineStr">
        <is>
          <t>Tight Ends (TE)</t>
        </is>
      </c>
      <c r="B407" t="inlineStr">
        <is>
          <t>TE</t>
        </is>
      </c>
      <c r="C407" t="inlineStr">
        <is>
          <t>Jack Endries</t>
        </is>
      </c>
      <c r="D407" t="inlineStr">
        <is>
          <t>CIN</t>
        </is>
      </c>
      <c r="E407" t="n">
        <v>139</v>
      </c>
      <c r="F407" t="inlineStr">
        <is>
          <t>Not in top-2 Week 1 depth-chart role</t>
        </is>
      </c>
    </row>
    <row r="408">
      <c r="A408" t="inlineStr">
        <is>
          <t>Tight Ends (TE)</t>
        </is>
      </c>
      <c r="B408" t="inlineStr">
        <is>
          <t>TE</t>
        </is>
      </c>
      <c r="C408" t="inlineStr">
        <is>
          <t>Treyton Welch</t>
        </is>
      </c>
      <c r="D408" t="inlineStr">
        <is>
          <t>NO</t>
        </is>
      </c>
      <c r="E408" t="n">
        <v>140</v>
      </c>
      <c r="F408" t="inlineStr">
        <is>
          <t>Not in top-2 Week 1 depth-chart role</t>
        </is>
      </c>
    </row>
    <row r="409">
      <c r="A409" t="inlineStr">
        <is>
          <t>Tight Ends (TE)</t>
        </is>
      </c>
      <c r="B409" t="inlineStr">
        <is>
          <t>TE</t>
        </is>
      </c>
      <c r="C409" t="inlineStr">
        <is>
          <t>Oscar Delp</t>
        </is>
      </c>
      <c r="D409" t="inlineStr">
        <is>
          <t>NO</t>
        </is>
      </c>
      <c r="E409" t="n">
        <v>141</v>
      </c>
      <c r="F409" t="inlineStr">
        <is>
          <t>Not in top-2 Week 1 depth-chart role</t>
        </is>
      </c>
    </row>
    <row r="410">
      <c r="A410" t="inlineStr">
        <is>
          <t>Tight Ends (TE)</t>
        </is>
      </c>
      <c r="B410" t="inlineStr">
        <is>
          <t>TE</t>
        </is>
      </c>
      <c r="C410" t="inlineStr">
        <is>
          <t>Quintin Morris</t>
        </is>
      </c>
      <c r="D410" t="inlineStr">
        <is>
          <t>JAC</t>
        </is>
      </c>
      <c r="E410" t="n">
        <v>142</v>
      </c>
      <c r="F410" t="inlineStr">
        <is>
          <t>Not in top-2 Week 1 depth-chart role</t>
        </is>
      </c>
    </row>
    <row r="411">
      <c r="A411" t="inlineStr">
        <is>
          <t>Tight Ends (TE)</t>
        </is>
      </c>
      <c r="B411" t="inlineStr">
        <is>
          <t>TE</t>
        </is>
      </c>
      <c r="C411" t="inlineStr">
        <is>
          <t>Patrick Herbert</t>
        </is>
      </c>
      <c r="D411" t="inlineStr">
        <is>
          <t>LAC</t>
        </is>
      </c>
      <c r="E411" t="n">
        <v>143</v>
      </c>
      <c r="F411" t="inlineStr">
        <is>
          <t>Not in top-2 Week 1 depth-chart role</t>
        </is>
      </c>
    </row>
    <row r="412">
      <c r="A412" t="inlineStr">
        <is>
          <t>Tight Ends (TE)</t>
        </is>
      </c>
      <c r="B412" t="inlineStr">
        <is>
          <t>TE</t>
        </is>
      </c>
      <c r="C412" t="inlineStr">
        <is>
          <t>Jaren Kanak</t>
        </is>
      </c>
      <c r="D412" t="inlineStr">
        <is>
          <t>TEN</t>
        </is>
      </c>
      <c r="E412" t="n">
        <v>144</v>
      </c>
      <c r="F412" t="inlineStr">
        <is>
          <t>Not in top-2 Week 1 depth-chart role</t>
        </is>
      </c>
    </row>
    <row r="413">
      <c r="A413" t="inlineStr">
        <is>
          <t>Tight Ends (TE)</t>
        </is>
      </c>
      <c r="B413" t="inlineStr">
        <is>
          <t>TE</t>
        </is>
      </c>
      <c r="C413" t="inlineStr">
        <is>
          <t>Quentin Moore</t>
        </is>
      </c>
      <c r="D413" t="inlineStr">
        <is>
          <t>WAS</t>
        </is>
      </c>
      <c r="E413" t="n">
        <v>145</v>
      </c>
      <c r="F413" t="inlineStr">
        <is>
          <t>Not in top-2 Week 1 depth-chart role</t>
        </is>
      </c>
    </row>
    <row r="414">
      <c r="A414" t="inlineStr">
        <is>
          <t>Tight Ends (TE)</t>
        </is>
      </c>
      <c r="B414" t="inlineStr">
        <is>
          <t>TE</t>
        </is>
      </c>
      <c r="C414" t="inlineStr">
        <is>
          <t>Danny Pinter</t>
        </is>
      </c>
      <c r="D414" t="inlineStr">
        <is>
          <t>BAL</t>
        </is>
      </c>
      <c r="E414" t="n">
        <v>146</v>
      </c>
      <c r="F414" t="inlineStr">
        <is>
          <t>Not in top-2 Week 1 depth-chart role</t>
        </is>
      </c>
    </row>
    <row r="415">
      <c r="A415" t="inlineStr">
        <is>
          <t>Tight Ends (TE)</t>
        </is>
      </c>
      <c r="B415" t="inlineStr">
        <is>
          <t>TE</t>
        </is>
      </c>
      <c r="C415" t="inlineStr">
        <is>
          <t>Tyler Ott</t>
        </is>
      </c>
      <c r="D415" t="inlineStr">
        <is>
          <t>WAS</t>
        </is>
      </c>
      <c r="E415" t="n">
        <v>147</v>
      </c>
      <c r="F415" t="inlineStr">
        <is>
          <t>Not in top-2 Week 1 depth-chart role</t>
        </is>
      </c>
    </row>
    <row r="416">
      <c r="A416" t="inlineStr">
        <is>
          <t>Tight Ends (TE)</t>
        </is>
      </c>
      <c r="B416" t="inlineStr">
        <is>
          <t>TE</t>
        </is>
      </c>
      <c r="C416" t="inlineStr">
        <is>
          <t>Marlin Klein</t>
        </is>
      </c>
      <c r="D416" t="inlineStr">
        <is>
          <t>HOU</t>
        </is>
      </c>
      <c r="E416" t="n">
        <v>148</v>
      </c>
      <c r="F416" t="inlineStr">
        <is>
          <t>Not in top-2 Week 1 depth-chart role</t>
        </is>
      </c>
    </row>
    <row r="417">
      <c r="A417" t="inlineStr">
        <is>
          <t>Tight Ends (TE)</t>
        </is>
      </c>
      <c r="B417" t="inlineStr">
        <is>
          <t>TE</t>
        </is>
      </c>
      <c r="C417" t="inlineStr">
        <is>
          <t>Cody Hardy</t>
        </is>
      </c>
      <c r="D417" t="inlineStr">
        <is>
          <t>NO</t>
        </is>
      </c>
      <c r="E417" t="n">
        <v>149</v>
      </c>
      <c r="F417" t="inlineStr">
        <is>
          <t>Not in top-2 Week 1 depth-chart role</t>
        </is>
      </c>
    </row>
    <row r="418">
      <c r="A418" t="inlineStr">
        <is>
          <t>Tight Ends (TE)</t>
        </is>
      </c>
      <c r="B418" t="inlineStr">
        <is>
          <t>TE</t>
        </is>
      </c>
      <c r="C418" t="inlineStr">
        <is>
          <t>Marshall Lang</t>
        </is>
      </c>
      <c r="D418" t="inlineStr">
        <is>
          <t>MIN</t>
        </is>
      </c>
      <c r="E418" t="n">
        <v>150</v>
      </c>
      <c r="F418" t="inlineStr">
        <is>
          <t>Not in top-2 Week 1 depth-chart role</t>
        </is>
      </c>
    </row>
    <row r="419">
      <c r="A419" t="inlineStr">
        <is>
          <t>Tight Ends (TE)</t>
        </is>
      </c>
      <c r="B419" t="inlineStr">
        <is>
          <t>TE</t>
        </is>
      </c>
      <c r="C419" t="inlineStr">
        <is>
          <t>Hayden Large</t>
        </is>
      </c>
      <c r="D419" t="inlineStr">
        <is>
          <t>CHI</t>
        </is>
      </c>
      <c r="E419" t="n">
        <v>151</v>
      </c>
      <c r="F419" t="inlineStr">
        <is>
          <t>Not in top-2 Week 1 depth-chart role</t>
        </is>
      </c>
    </row>
    <row r="420">
      <c r="A420" t="inlineStr">
        <is>
          <t>Tight Ends (TE)</t>
        </is>
      </c>
      <c r="B420" t="inlineStr">
        <is>
          <t>TE</t>
        </is>
      </c>
      <c r="C420" t="inlineStr">
        <is>
          <t>Philip Florenzo</t>
        </is>
      </c>
      <c r="D420" t="inlineStr">
        <is>
          <t>ATL</t>
        </is>
      </c>
      <c r="E420" t="n">
        <v>153</v>
      </c>
      <c r="F420" t="inlineStr">
        <is>
          <t>Not in top-2 Week 1 depth-chart role</t>
        </is>
      </c>
    </row>
    <row r="421">
      <c r="A421" t="inlineStr">
        <is>
          <t>Tight Ends (TE)</t>
        </is>
      </c>
      <c r="B421" t="inlineStr">
        <is>
          <t>TE</t>
        </is>
      </c>
      <c r="C421" t="inlineStr">
        <is>
          <t>Jelani Woods</t>
        </is>
      </c>
      <c r="D421" t="inlineStr">
        <is>
          <t>NYJ</t>
        </is>
      </c>
      <c r="E421" t="n">
        <v>154</v>
      </c>
      <c r="F421" t="inlineStr">
        <is>
          <t>Not in top-2 Week 1 depth-chart role</t>
        </is>
      </c>
    </row>
    <row r="422">
      <c r="A422" t="inlineStr">
        <is>
          <t>Tight Ends (TE)</t>
        </is>
      </c>
      <c r="B422" t="inlineStr">
        <is>
          <t>TE</t>
        </is>
      </c>
      <c r="C422" t="inlineStr">
        <is>
          <t>Anthony Firkser</t>
        </is>
      </c>
      <c r="D422" t="inlineStr">
        <is>
          <t>DET</t>
        </is>
      </c>
      <c r="E422" t="n">
        <v>155</v>
      </c>
      <c r="F422" t="inlineStr">
        <is>
          <t>Not in top-2 Week 1 depth-chart role</t>
        </is>
      </c>
    </row>
    <row r="423">
      <c r="A423" t="inlineStr">
        <is>
          <t>Tight Ends (TE)</t>
        </is>
      </c>
      <c r="B423" t="inlineStr">
        <is>
          <t>TE</t>
        </is>
      </c>
      <c r="C423" t="inlineStr">
        <is>
          <t>Lake McRee</t>
        </is>
      </c>
      <c r="D423" t="inlineStr">
        <is>
          <t>PIT</t>
        </is>
      </c>
      <c r="E423" t="n">
        <v>156</v>
      </c>
      <c r="F423" t="inlineStr">
        <is>
          <t>Not in top-2 Week 1 depth-chart role</t>
        </is>
      </c>
    </row>
    <row r="424">
      <c r="A424" t="inlineStr">
        <is>
          <t>Tight Ends (TE)</t>
        </is>
      </c>
      <c r="B424" t="inlineStr">
        <is>
          <t>TE</t>
        </is>
      </c>
      <c r="C424" t="inlineStr">
        <is>
          <t>Miles Kitselman</t>
        </is>
      </c>
      <c r="D424" t="inlineStr">
        <is>
          <t>DET</t>
        </is>
      </c>
      <c r="E424" t="n">
        <v>157</v>
      </c>
      <c r="F424" t="inlineStr">
        <is>
          <t>Not in top-2 Week 1 depth-chart role</t>
        </is>
      </c>
    </row>
    <row r="425">
      <c r="A425" t="inlineStr">
        <is>
          <t>Tight Ends (TE)</t>
        </is>
      </c>
      <c r="B425" t="inlineStr">
        <is>
          <t>TE</t>
        </is>
      </c>
      <c r="C425" t="inlineStr">
        <is>
          <t>Thomas Gordon</t>
        </is>
      </c>
      <c r="D425" t="inlineStr">
        <is>
          <t>DET</t>
        </is>
      </c>
      <c r="E425" t="n">
        <v>158</v>
      </c>
      <c r="F425" t="inlineStr">
        <is>
          <t>Not in top-2 Week 1 depth-chart role</t>
        </is>
      </c>
    </row>
    <row r="426">
      <c r="A426" t="inlineStr">
        <is>
          <t>Tight Ends (TE)</t>
        </is>
      </c>
      <c r="B426" t="inlineStr">
        <is>
          <t>TE</t>
        </is>
      </c>
      <c r="C426" t="inlineStr">
        <is>
          <t>Bernhard Raimann</t>
        </is>
      </c>
      <c r="D426" t="inlineStr">
        <is>
          <t>IND</t>
        </is>
      </c>
      <c r="E426" t="n">
        <v>159</v>
      </c>
      <c r="F426" t="inlineStr">
        <is>
          <t>Not in top-2 Week 1 depth-chart role</t>
        </is>
      </c>
    </row>
    <row r="427">
      <c r="A427" t="inlineStr">
        <is>
          <t>Tight Ends (TE)</t>
        </is>
      </c>
      <c r="B427" t="inlineStr">
        <is>
          <t>TE</t>
        </is>
      </c>
      <c r="C427" t="inlineStr">
        <is>
          <t>Joel Wilson</t>
        </is>
      </c>
      <c r="D427" t="inlineStr">
        <is>
          <t>TEN</t>
        </is>
      </c>
      <c r="E427" t="n">
        <v>160</v>
      </c>
      <c r="F427" t="inlineStr">
        <is>
          <t>Not in top-2 Week 1 depth-chart role</t>
        </is>
      </c>
    </row>
    <row r="428">
      <c r="A428" t="inlineStr">
        <is>
          <t>Tight Ends (TE)</t>
        </is>
      </c>
      <c r="B428" t="inlineStr">
        <is>
          <t>TE</t>
        </is>
      </c>
      <c r="C428" t="inlineStr">
        <is>
          <t>Sam Roush</t>
        </is>
      </c>
      <c r="D428" t="inlineStr">
        <is>
          <t>CHI</t>
        </is>
      </c>
      <c r="E428" t="n">
        <v>161</v>
      </c>
      <c r="F428" t="inlineStr">
        <is>
          <t>Not in top-2 Week 1 depth-chart role</t>
        </is>
      </c>
    </row>
    <row r="429">
      <c r="A429" t="inlineStr">
        <is>
          <t>Tight Ends (TE)</t>
        </is>
      </c>
      <c r="B429" t="inlineStr">
        <is>
          <t>TE</t>
        </is>
      </c>
      <c r="C429" t="inlineStr">
        <is>
          <t>Moliki Matavao</t>
        </is>
      </c>
      <c r="D429" t="inlineStr">
        <is>
          <t>NO</t>
        </is>
      </c>
      <c r="E429" t="n">
        <v>162</v>
      </c>
      <c r="F429" t="inlineStr">
        <is>
          <t>Not in top-2 Week 1 depth-chart role</t>
        </is>
      </c>
    </row>
    <row r="430">
      <c r="A430" t="inlineStr">
        <is>
          <t>Tight Ends (TE)</t>
        </is>
      </c>
      <c r="B430" t="inlineStr">
        <is>
          <t>TE</t>
        </is>
      </c>
      <c r="C430" t="inlineStr">
        <is>
          <t>Zaire Mitchell-Paden</t>
        </is>
      </c>
      <c r="D430" t="inlineStr">
        <is>
          <t>HOU</t>
        </is>
      </c>
      <c r="E430" t="n">
        <v>163</v>
      </c>
      <c r="F430" t="inlineStr">
        <is>
          <t>Not in top-2 Week 1 depth-chart role</t>
        </is>
      </c>
    </row>
    <row r="431">
      <c r="A431" t="inlineStr">
        <is>
          <t>Tight Ends (TE)</t>
        </is>
      </c>
      <c r="B431" t="inlineStr">
        <is>
          <t>TE</t>
        </is>
      </c>
      <c r="C431" t="inlineStr">
        <is>
          <t>Jeremiah Franklin</t>
        </is>
      </c>
      <c r="D431" t="inlineStr">
        <is>
          <t>MIA</t>
        </is>
      </c>
      <c r="E431" t="n">
        <v>164</v>
      </c>
      <c r="F431" t="inlineStr">
        <is>
          <t>Not in top-2 Week 1 depth-chart role</t>
        </is>
      </c>
    </row>
    <row r="432">
      <c r="A432" t="inlineStr">
        <is>
          <t>Tight Ends (TE)</t>
        </is>
      </c>
      <c r="B432" t="inlineStr">
        <is>
          <t>TE</t>
        </is>
      </c>
      <c r="C432" t="inlineStr">
        <is>
          <t>David Martin-Robinson</t>
        </is>
      </c>
      <c r="D432" t="inlineStr">
        <is>
          <t>TEN</t>
        </is>
      </c>
      <c r="E432" t="n">
        <v>165</v>
      </c>
      <c r="F432" t="inlineStr">
        <is>
          <t>Not in top-2 Week 1 depth-chart role</t>
        </is>
      </c>
    </row>
    <row r="433">
      <c r="A433" t="inlineStr">
        <is>
          <t>Tight Ends (TE)</t>
        </is>
      </c>
      <c r="B433" t="inlineStr">
        <is>
          <t>TE</t>
        </is>
      </c>
      <c r="C433" t="inlineStr">
        <is>
          <t>McCallan Castles</t>
        </is>
      </c>
      <c r="D433" t="inlineStr">
        <is>
          <t>GB</t>
        </is>
      </c>
      <c r="E433" t="n">
        <v>166</v>
      </c>
      <c r="F433" t="inlineStr">
        <is>
          <t>Not in top-2 Week 1 depth-chart role</t>
        </is>
      </c>
    </row>
    <row r="434">
      <c r="A434" t="inlineStr">
        <is>
          <t>Tight Ends (TE)</t>
        </is>
      </c>
      <c r="B434" t="inlineStr">
        <is>
          <t>TE</t>
        </is>
      </c>
      <c r="C434" t="inlineStr">
        <is>
          <t>Keleki Latu</t>
        </is>
      </c>
      <c r="D434" t="inlineStr">
        <is>
          <t>BUF</t>
        </is>
      </c>
      <c r="E434" t="n">
        <v>167</v>
      </c>
      <c r="F434" t="inlineStr">
        <is>
          <t>Not in top-2 Week 1 depth-chart role</t>
        </is>
      </c>
    </row>
    <row r="435">
      <c r="A435" t="inlineStr">
        <is>
          <t>Tight Ends (TE)</t>
        </is>
      </c>
      <c r="B435" t="inlineStr">
        <is>
          <t>TE</t>
        </is>
      </c>
      <c r="C435" t="inlineStr">
        <is>
          <t>Nick Muse</t>
        </is>
      </c>
      <c r="D435" t="inlineStr">
        <is>
          <t>ATL</t>
        </is>
      </c>
      <c r="E435" t="n">
        <v>168</v>
      </c>
      <c r="F435" t="inlineStr">
        <is>
          <t>Not in top-2 Week 1 depth-chart role</t>
        </is>
      </c>
    </row>
  </sheetData>
  <autoFilter ref="A1:F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2026-09-10T18:47:18Z</dcterms:created>
  <dcterms:modified xsi:type="dcterms:W3CDTF">2026-10-27T14:42:55Z</dcterms:modified>
  <cp:lastModifiedBy>Joey</cp:lastModifiedBy>
</cp:coreProperties>
</file>